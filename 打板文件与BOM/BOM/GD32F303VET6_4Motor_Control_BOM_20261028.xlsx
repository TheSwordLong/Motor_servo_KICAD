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e6f8c11db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汇总" sheetId="1" r:id="R7dd57bea24244ac7"/>
    <x:sheet xmlns:r="http://schemas.openxmlformats.org/officeDocument/2006/relationships" name="逐件明细" sheetId="2" r:id="R9c35d417599b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5">
    <x:font>
      <x:sz val="11"/>
      <x:name val="Carlito"/>
    </x:font>
    <x:font>
      <x:sz val="10"/>
      <x:color rgb="FF233247"/>
      <x:name val="Microsoft YaHei"/>
    </x:font>
    <x:font>
      <x:b/>
      <x:sz val="16"/>
      <x:color rgb="FF17365D"/>
      <x:name val="Microsoft YaHei"/>
    </x:font>
    <x:font>
      <x:b/>
      <x:sz val="10"/>
      <x:color rgb="FFFFFFFF"/>
      <x:name val="Microsoft YaHei"/>
    </x:font>
    <x:font>
      <x:sz val="10"/>
      <x:color rgb="FF7A604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E9F1F8"/>
      </x:patternFill>
    </x:fill>
    <x:fill>
      <x:patternFill patternType="solid">
        <x:fgColor rgb="FFFFF3DA"/>
      </x:patternFill>
    </x:fill>
    <x:fill>
      <x:patternFill patternType="solid">
        <x:fgColor rgb="FF244769"/>
      </x:patternFill>
    </x:fill>
    <x:fill>
      <x:patternFill patternType="solid">
        <x:fgColor rgb="FFF4F7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b5a3fa1fed4a6c" /><Relationship Type="http://schemas.openxmlformats.org/officeDocument/2006/relationships/theme" Target="/xl/theme/theme1.xml" Id="R40bc5eae376a4176" /><Relationship Type="http://schemas.openxmlformats.org/officeDocument/2006/relationships/sharedStrings" Target="/xl/sharedStrings.xml" Id="Rf3e5db284930403a" /><Relationship Type="http://schemas.openxmlformats.org/officeDocument/2006/relationships/worksheet" Target="/xl/worksheets/sheet1.xml" Id="R7dd57bea24244ac7" /><Relationship Type="http://schemas.openxmlformats.org/officeDocument/2006/relationships/worksheet" Target="/xl/worksheets/sheet2.xml" Id="R9c35d417599b4795" /></Relationships>
</file>

<file path=xl/tables/table1.xml><?xml version="1.0" encoding="utf-8"?>
<x:table xmlns:x="http://schemas.openxmlformats.org/spreadsheetml/2006/main" id="1" name="PurchaseBOM" displayName="PurchaseBOM" ref="A6:L76" headerRowCount="1" totalsRowCount="0" totalsRowShown="0">
  <x:autoFilter ref="A6:L76"/>
  <x:tableColumns count="12">
    <x:tableColumn id="1" name="位号"/>
    <x:tableColumn id="2" name="型号 / 数值"/>
    <x:tableColumn id="3" name="单板数量"/>
    <x:tableColumn id="4" name="制造商料号 MPN"/>
    <x:tableColumn id="5" name="品牌"/>
    <x:tableColumn id="6" name="封装尺寸标识"/>
    <x:tableColumn id="7" name="PCB 封装"/>
    <x:tableColumn id="8" name="嘉立创料号"/>
    <x:tableColumn id="9" name="华秋料号"/>
    <x:tableColumn id="10" name="规格参数"/>
    <x:tableColumn id="11" name="器件描述"/>
    <x:tableColumn id="12" name="采购备注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ComponentDetail" displayName="ComponentDetail" ref="A6:P282" headerRowCount="1" totalsRowCount="0" totalsRowShown="0">
  <x:autoFilter ref="A6:P282"/>
  <x:tableColumns count="16">
    <x:tableColumn id="1" name="位号"/>
    <x:tableColumn id="2" name="型号 / 数值"/>
    <x:tableColumn id="3" name="采购数量"/>
    <x:tableColumn id="4" name="装配状态"/>
    <x:tableColumn id="5" name="制造商料号 MPN"/>
    <x:tableColumn id="6" name="品牌"/>
    <x:tableColumn id="7" name="板面"/>
    <x:tableColumn id="8" name="PCB封装 / 无PCB时原理图封装"/>
    <x:tableColumn id="9" name="原理图封装"/>
    <x:tableColumn id="10" name="嘉立创料号"/>
    <x:tableColumn id="11" name="华秋料号"/>
    <x:tableColumn id="12" name="子图路径"/>
    <x:tableColumn id="13" name="原始文件"/>
    <x:tableColumn id="14" name="规格参数"/>
    <x:tableColumn id="15" name="器件描述"/>
    <x:tableColumn id="16" name="备注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662161f58542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68711cc4d14ae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9" hidden="0" customWidth="1"/>
    <x:col min="2" max="2" width="28" hidden="0" customWidth="1"/>
    <x:col min="3" max="3" width="12" hidden="0" customWidth="1"/>
    <x:col min="4" max="4" width="29" hidden="0" customWidth="1"/>
    <x:col min="5" max="5" width="24" hidden="0" customWidth="1"/>
    <x:col min="6" max="6" width="23" hidden="0" customWidth="1"/>
    <x:col min="7" max="7" width="49" hidden="0" customWidth="1"/>
    <x:col min="8" max="8" width="18" hidden="0" customWidth="1"/>
    <x:col min="9" max="9" width="18" hidden="0" customWidth="1"/>
    <x:col min="10" max="10" width="48" hidden="0" customWidth="1"/>
    <x:col min="11" max="11" width="58" hidden="0" customWidth="1"/>
    <x:col min="12" max="12" width="43" hidden="0" customWidth="1"/>
  </x:cols>
  <x:sheetData>
    <x:row r="1" ht="32" customHeight="1">
      <x:c r="A1" s="4" t="str">
        <x:v>GD32F303VET6 四电机控制板 · 采购汇总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8" customHeight="1">
      <x:c r="A2" s="3" t="str">
        <x:v>来源：2026-10-28 本地保存版本独立快照；数量按单板计算。缺失料号留空，未进行在线采购匹配。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8" customHeight="1">
      <x:c r="A3" s="6" t="str">
        <x:v>采购类别</x:v>
      </x:c>
      <x:c r="B3" s="7" t="n">
        <x:v>70</x:v>
      </x:c>
      <x:c r="C3" s="6" t="str">
        <x:v>单板总件数</x:v>
      </x:c>
      <x:c r="D3" s="7" t="n">
        <x:f>SUM(C7:C76)</x:f>
        <x:v>151</x:v>
      </x:c>
      <x:c r="E3" s="6" t="str">
        <x:v>PCB封装数</x:v>
      </x:c>
      <x:c r="F3" s="7" t="n">
        <x:v>200</x:v>
      </x:c>
      <x:c r="G3" s="3"/>
      <x:c r="H3" s="3"/>
      <x:c r="I3" s="3"/>
      <x:c r="J3" s="3"/>
      <x:c r="K3" s="3"/>
      <x:c r="L3" s="3"/>
    </x:row>
    <x:row r="4" ht="52" customHeight="1">
      <x:c r="A4" s="8" t="str">
        <x:v>采购按实际PCB及原理图标记筛选：排除DNP、排除BOM、排除PCB和板上结构。28类MPN待补；70类嘉立创料号、42类华秋料号待匹配。</x:v>
      </x:c>
      <x:c r="B4" s="8"/>
      <x:c r="C4" s="8"/>
      <x:c r="D4" s="8"/>
      <x:c r="E4" s="8"/>
      <x:c r="F4" s="8"/>
      <x:c r="G4" s="3"/>
      <x:c r="H4" s="3"/>
      <x:c r="I4" s="3"/>
      <x:c r="J4" s="3"/>
      <x:c r="K4" s="3"/>
      <x:c r="L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36" customHeight="1">
      <x:c r="A6" s="11" t="str">
        <x:v>位号</x:v>
      </x:c>
      <x:c r="B6" s="11" t="str">
        <x:v>型号 / 数值</x:v>
      </x:c>
      <x:c r="C6" s="11" t="str">
        <x:v>单板数量</x:v>
      </x:c>
      <x:c r="D6" s="11" t="str">
        <x:v>制造商料号 MPN</x:v>
      </x:c>
      <x:c r="E6" s="11" t="str">
        <x:v>品牌</x:v>
      </x:c>
      <x:c r="F6" s="11" t="str">
        <x:v>封装尺寸标识</x:v>
      </x:c>
      <x:c r="G6" s="11" t="str">
        <x:v>PCB 封装</x:v>
      </x:c>
      <x:c r="H6" s="11" t="str">
        <x:v>嘉立创料号</x:v>
      </x:c>
      <x:c r="I6" s="11" t="str">
        <x:v>华秋料号</x:v>
      </x:c>
      <x:c r="J6" s="11" t="str">
        <x:v>规格参数</x:v>
      </x:c>
      <x:c r="K6" s="11" t="str">
        <x:v>器件描述</x:v>
      </x:c>
      <x:c r="L6" s="11" t="str">
        <x:v>采购备注</x:v>
      </x:c>
    </x:row>
    <x:row r="7" ht="48" customHeight="1">
      <x:c r="A7" s="9" t="str">
        <x:v>C1</x:v>
      </x:c>
      <x:c r="B7" s="9" t="str">
        <x:v>RVT1E471M0810</x:v>
      </x:c>
      <x:c r="C7" s="12" t="n">
        <x:v>1</x:v>
      </x:c>
      <x:c r="D7" s="9" t="str">
        <x:v>RVT1E471M0810</x:v>
      </x:c>
      <x:c r="E7" s="9" t="str">
        <x:v>HONOR</x:v>
      </x:c>
      <x:c r="F7" s="9" t="str">
        <x:v>AEC_D8X10.2MM_SM</x:v>
      </x:c>
      <x:c r="G7" s="9" t="str">
        <x:v>kicad_api_lib:RVT1E471M0810</x:v>
      </x:c>
      <x:c r="H7" s="9" t="str"/>
      <x:c r="I7" s="9" t="str">
        <x:v>G4630692</x:v>
      </x:c>
      <x:c r="J7" s="9" t="str"/>
      <x:c r="K7" s="9" t="str">
        <x:v>SMD Aluminum Electrolytic Capacitor AEC_D8X10.2MM_SM 470µF ±20% 25V Ф8.00 x 10.20mm 2000Hrs@105℃ 280mA</x:v>
      </x:c>
      <x:c r="L7" s="9" t="str">
        <x:v>嘉立创料号待匹配</x:v>
      </x:c>
    </x:row>
    <x:row r="8" ht="48" customHeight="1">
      <x:c r="A8" s="13" t="str">
        <x:v>C5</x:v>
      </x:c>
      <x:c r="B8" s="13" t="str">
        <x:v>RVT1E221M0607</x:v>
      </x:c>
      <x:c r="C8" s="14" t="n">
        <x:v>1</x:v>
      </x:c>
      <x:c r="D8" s="13" t="str">
        <x:v>RVT1E221M0607</x:v>
      </x:c>
      <x:c r="E8" s="13" t="str">
        <x:v>HONOR</x:v>
      </x:c>
      <x:c r="F8" s="13" t="str">
        <x:v>AEC_D6.3X7.7MM_SM</x:v>
      </x:c>
      <x:c r="G8" s="13" t="str">
        <x:v>kicad_api_lib:RVT1E221M0607</x:v>
      </x:c>
      <x:c r="H8" s="13" t="str"/>
      <x:c r="I8" s="13" t="str">
        <x:v>G4632569</x:v>
      </x:c>
      <x:c r="J8" s="13" t="str"/>
      <x:c r="K8" s="13" t="str">
        <x:v>SMD Aluminum Electrolytic Capacitor AEC_D6.3X7.7MM_SM 220µF ±20% 25V Ф6.30 x 7.70mm 2000Hrs@105℃ 175mA</x:v>
      </x:c>
      <x:c r="L8" s="13" t="str">
        <x:v>嘉立创料号待匹配</x:v>
      </x:c>
    </x:row>
    <x:row r="9" ht="48" customHeight="1">
      <x:c r="A9" s="9" t="str">
        <x:v>C9, C13, C65</x:v>
      </x:c>
      <x:c r="B9" s="9" t="str">
        <x:v>1uF/10V</x:v>
      </x:c>
      <x:c r="C9" s="12" t="n">
        <x:v>3</x:v>
      </x:c>
      <x:c r="D9" s="9" t="str"/>
      <x:c r="E9" s="9" t="str"/>
      <x:c r="F9" s="9" t="str"/>
      <x:c r="G9" s="9" t="str">
        <x:v>Capacitor_SMD:C_0603_1608Metric</x:v>
      </x:c>
      <x:c r="H9" s="9" t="str"/>
      <x:c r="I9" s="9" t="str"/>
      <x:c r="J9" s="9" t="str"/>
      <x:c r="K9" s="9" t="str">
        <x:v>Unpolarized capacitor</x:v>
      </x:c>
      <x:c r="L9" s="9" t="str">
        <x:v>MPN待补齐；型号/数值按原设计保留；品牌待补齐；嘉立创料号待匹配；华秋料号待匹配</x:v>
      </x:c>
    </x:row>
    <x:row r="10" ht="48" customHeight="1">
      <x:c r="A10" s="13" t="str">
        <x:v>C10, C11, C12</x:v>
      </x:c>
      <x:c r="B10" s="13" t="str">
        <x:v>1nF</x:v>
      </x:c>
      <x:c r="C10" s="14" t="n">
        <x:v>3</x:v>
      </x:c>
      <x:c r="D10" s="13" t="str"/>
      <x:c r="E10" s="13" t="str"/>
      <x:c r="F10" s="13" t="str"/>
      <x:c r="G10" s="13" t="str">
        <x:v>Capacitor_SMD:C_0603_1608Metric</x:v>
      </x:c>
      <x:c r="H10" s="13" t="str"/>
      <x:c r="I10" s="13" t="str"/>
      <x:c r="J10" s="13" t="str"/>
      <x:c r="K10" s="13" t="str">
        <x:v>Unpolarized capacitor, small symbol</x:v>
      </x:c>
      <x:c r="L10" s="13" t="str">
        <x:v>MPN待补齐；型号/数值按原设计保留；品牌待补齐；嘉立创料号待匹配；华秋料号待匹配</x:v>
      </x:c>
    </x:row>
    <x:row r="11" ht="48" customHeight="1">
      <x:c r="A11" s="9" t="str">
        <x:v>C14, C17</x:v>
      </x:c>
      <x:c r="B11" s="9" t="str">
        <x:v>22uF</x:v>
      </x:c>
      <x:c r="C11" s="12" t="n">
        <x:v>2</x:v>
      </x:c>
      <x:c r="D11" s="9" t="str">
        <x:v>CL10A226MP8NUNC</x:v>
      </x:c>
      <x:c r="E11" s="9" t="str">
        <x:v>Samsung Electro-Mechanics</x:v>
      </x:c>
      <x:c r="F11" s="9" t="str">
        <x:v>0603</x:v>
      </x:c>
      <x:c r="G11" s="9" t="str">
        <x:v>Capacitor_SMD:C_0603_1608Metric</x:v>
      </x:c>
      <x:c r="H11" s="9" t="str"/>
      <x:c r="I11" s="9" t="str"/>
      <x:c r="J11" s="9" t="str">
        <x:v>Capacitance=22uF；Tolerance=20%；Voltage_Rating=10V；Dielectric=X5R</x:v>
      </x:c>
      <x:c r="K11" s="9" t="str">
        <x:v>MLCC 0603 (EIA), 22uF, 10V, 20%, X5R</x:v>
      </x:c>
      <x:c r="L11" s="9" t="str">
        <x:v>嘉立创料号待匹配；华秋料号待匹配</x:v>
      </x:c>
    </x:row>
    <x:row r="12" ht="48" customHeight="1">
      <x:c r="A12" s="13" t="str">
        <x:v>C15, C18, C50, C63</x:v>
      </x:c>
      <x:c r="B12" s="13" t="str">
        <x:v>100nF</x:v>
      </x:c>
      <x:c r="C12" s="14" t="n">
        <x:v>4</x:v>
      </x:c>
      <x:c r="D12" s="13" t="str">
        <x:v>CL10B104KB8NNNC</x:v>
      </x:c>
      <x:c r="E12" s="13" t="str">
        <x:v>Samsung Electro-Mechanics</x:v>
      </x:c>
      <x:c r="F12" s="13" t="str">
        <x:v>0603</x:v>
      </x:c>
      <x:c r="G12" s="13" t="str">
        <x:v>Capacitor_SMD:C_0603_1608Metric</x:v>
      </x:c>
      <x:c r="H12" s="13" t="str"/>
      <x:c r="I12" s="13" t="str"/>
      <x:c r="J12" s="13" t="str">
        <x:v>Capacitance=100nF；Tolerance=10%；Voltage_Rating=50V；Dielectric=X7R</x:v>
      </x:c>
      <x:c r="K12" s="13" t="str">
        <x:v>MLCC 0603 (EIA), 100nF, 50V, 10%, X7R</x:v>
      </x:c>
      <x:c r="L12" s="13" t="str">
        <x:v>嘉立创料号待匹配；华秋料号待匹配</x:v>
      </x:c>
    </x:row>
    <x:row r="13" ht="48" customHeight="1">
      <x:c r="A13" s="9" t="str">
        <x:v>C16</x:v>
      </x:c>
      <x:c r="B13" s="9" t="str">
        <x:v>22pF</x:v>
      </x:c>
      <x:c r="C13" s="12" t="n">
        <x:v>1</x:v>
      </x:c>
      <x:c r="D13" s="9" t="str">
        <x:v>CL10C220JB8NNNC</x:v>
      </x:c>
      <x:c r="E13" s="9" t="str">
        <x:v>Samsung Electro-Mechanics</x:v>
      </x:c>
      <x:c r="F13" s="9" t="str">
        <x:v>0603</x:v>
      </x:c>
      <x:c r="G13" s="9" t="str">
        <x:v>Capacitor_SMD:C_0603_1608Metric</x:v>
      </x:c>
      <x:c r="H13" s="9" t="str"/>
      <x:c r="I13" s="9" t="str"/>
      <x:c r="J13" s="9" t="str">
        <x:v>Capacitance=22pF；Tolerance=5%；Voltage_Rating=50V；Dielectric=C0G</x:v>
      </x:c>
      <x:c r="K13" s="9" t="str">
        <x:v>MLCC 0603 (EIA), 22pF, 50V, 5%, C0G</x:v>
      </x:c>
      <x:c r="L13" s="9" t="str">
        <x:v>嘉立创料号待匹配；华秋料号待匹配</x:v>
      </x:c>
    </x:row>
    <x:row r="14" ht="48" customHeight="1">
      <x:c r="A14" s="13" t="str">
        <x:v>C20, C25, C33, C36</x:v>
      </x:c>
      <x:c r="B14" s="13" t="str">
        <x:v>15pF</x:v>
      </x:c>
      <x:c r="C14" s="14" t="n">
        <x:v>4</x:v>
      </x:c>
      <x:c r="D14" s="13" t="str"/>
      <x:c r="E14" s="13" t="str"/>
      <x:c r="F14" s="13" t="str"/>
      <x:c r="G14" s="13" t="str">
        <x:v>Capacitor_SMD:C_0603_1608Metric</x:v>
      </x:c>
      <x:c r="H14" s="13" t="str"/>
      <x:c r="I14" s="13" t="str"/>
      <x:c r="J14" s="13" t="str"/>
      <x:c r="K14" s="13" t="str">
        <x:v>Unpolarized capacitor</x:v>
      </x:c>
      <x:c r="L14" s="13" t="str">
        <x:v>MPN待补齐；型号/数值按原设计保留；品牌待补齐；嘉立创料号待匹配；华秋料号待匹配</x:v>
      </x:c>
    </x:row>
    <x:row r="15" ht="60" customHeight="1">
      <x:c r="A15" s="9" t="str">
        <x:v>C21, C22, C23, C24, C26, C27, C28, C29, C30, C31, C32, C34, C35, C51, C53</x:v>
      </x:c>
      <x:c r="B15" s="9" t="str">
        <x:v>100nF</x:v>
      </x:c>
      <x:c r="C15" s="12" t="n">
        <x:v>15</x:v>
      </x:c>
      <x:c r="D15" s="9" t="str"/>
      <x:c r="E15" s="9" t="str"/>
      <x:c r="F15" s="9" t="str"/>
      <x:c r="G15" s="9" t="str">
        <x:v>Capacitor_SMD:C_0603_1608Metric</x:v>
      </x:c>
      <x:c r="H15" s="9" t="str"/>
      <x:c r="I15" s="9" t="str"/>
      <x:c r="J15" s="9" t="str"/>
      <x:c r="K15" s="9" t="str">
        <x:v>Unpolarized capacitor</x:v>
      </x:c>
      <x:c r="L15" s="9" t="str">
        <x:v>MPN待补齐；型号/数值按原设计保留；品牌待补齐；嘉立创料号待匹配；华秋料号待匹配</x:v>
      </x:c>
    </x:row>
    <x:row r="16" ht="48" customHeight="1">
      <x:c r="A16" s="13" t="str">
        <x:v>C39, C40</x:v>
      </x:c>
      <x:c r="B16" s="13" t="str">
        <x:v>100nF</x:v>
      </x:c>
      <x:c r="C16" s="14" t="n">
        <x:v>2</x:v>
      </x:c>
      <x:c r="D16" s="13" t="str"/>
      <x:c r="E16" s="13" t="str"/>
      <x:c r="F16" s="13" t="str"/>
      <x:c r="G16" s="13" t="str">
        <x:v>Capacitor_SMD:C_0603_1608Metric</x:v>
      </x:c>
      <x:c r="H16" s="13" t="str"/>
      <x:c r="I16" s="13" t="str"/>
      <x:c r="J16" s="13" t="str"/>
      <x:c r="K16" s="13" t="str">
        <x:v>Unpolarized capacitor, small symbol</x:v>
      </x:c>
      <x:c r="L16" s="13" t="str">
        <x:v>MPN待补齐；型号/数值按原设计保留；品牌待补齐；嘉立创料号待匹配；华秋料号待匹配</x:v>
      </x:c>
    </x:row>
    <x:row r="17" ht="48" customHeight="1">
      <x:c r="A17" s="9" t="str">
        <x:v>C55, C56, C57, C58</x:v>
      </x:c>
      <x:c r="B17" s="9" t="str">
        <x:v>100nF</x:v>
      </x:c>
      <x:c r="C17" s="12" t="n">
        <x:v>4</x:v>
      </x:c>
      <x:c r="D17" s="9" t="str"/>
      <x:c r="E17" s="9" t="str"/>
      <x:c r="F17" s="9" t="str"/>
      <x:c r="G17" s="9" t="str">
        <x:v>Capacitor_SMD:C_0603_1608Metric</x:v>
      </x:c>
      <x:c r="H17" s="9" t="str"/>
      <x:c r="I17" s="9" t="str"/>
      <x:c r="J17" s="9" t="str"/>
      <x:c r="K17" s="9" t="str"/>
      <x:c r="L17" s="9" t="str">
        <x:v>MPN待补齐；型号/数值按原设计保留；品牌待补齐；嘉立创料号待匹配；华秋料号待匹配</x:v>
      </x:c>
    </x:row>
    <x:row r="18" ht="48" customHeight="1">
      <x:c r="A18" s="13" t="str">
        <x:v>C61</x:v>
      </x:c>
      <x:c r="B18" s="13" t="str">
        <x:v>1uF/10V</x:v>
      </x:c>
      <x:c r="C18" s="14" t="n">
        <x:v>1</x:v>
      </x:c>
      <x:c r="D18" s="13" t="str"/>
      <x:c r="E18" s="13" t="str"/>
      <x:c r="F18" s="13" t="str"/>
      <x:c r="G18" s="13" t="str">
        <x:v>Capacitor_SMD:C_0402_1005Metric</x:v>
      </x:c>
      <x:c r="H18" s="13" t="str"/>
      <x:c r="I18" s="13" t="str"/>
      <x:c r="J18" s="13" t="str"/>
      <x:c r="K18" s="13" t="str">
        <x:v>Unpolarized capacitor</x:v>
      </x:c>
      <x:c r="L18" s="13" t="str">
        <x:v>MPN待补齐；型号/数值按原设计保留；品牌待补齐；嘉立创料号待匹配；华秋料号待匹配</x:v>
      </x:c>
    </x:row>
    <x:row r="19" ht="48" customHeight="1">
      <x:c r="A19" s="9" t="str">
        <x:v>C62</x:v>
      </x:c>
      <x:c r="B19" s="9" t="str">
        <x:v>1uF</x:v>
      </x:c>
      <x:c r="C19" s="12" t="n">
        <x:v>1</x:v>
      </x:c>
      <x:c r="D19" s="9" t="str">
        <x:v>CL10A105KA8NNNC</x:v>
      </x:c>
      <x:c r="E19" s="9" t="str">
        <x:v>Samsung Electro-Mechanics</x:v>
      </x:c>
      <x:c r="F19" s="9" t="str">
        <x:v>0603</x:v>
      </x:c>
      <x:c r="G19" s="9" t="str">
        <x:v>Capacitor_SMD:C_0603_1608Metric</x:v>
      </x:c>
      <x:c r="H19" s="9" t="str"/>
      <x:c r="I19" s="9" t="str"/>
      <x:c r="J19" s="9" t="str">
        <x:v>Capacitance=1uF；Tolerance=10%；Voltage_Rating=25V；Dielectric=X5R</x:v>
      </x:c>
      <x:c r="K19" s="9" t="str">
        <x:v>MLCC 0603 (EIA), 1uF, 25V, 10%, X5R</x:v>
      </x:c>
      <x:c r="L19" s="9" t="str">
        <x:v>嘉立创料号待匹配；华秋料号待匹配</x:v>
      </x:c>
    </x:row>
    <x:row r="20" ht="48" customHeight="1">
      <x:c r="A20" s="13" t="str">
        <x:v>C64</x:v>
      </x:c>
      <x:c r="B20" s="13" t="str">
        <x:v>CC1206MKX7RDBB102</x:v>
      </x:c>
      <x:c r="C20" s="14" t="n">
        <x:v>1</x:v>
      </x:c>
      <x:c r="D20" s="13" t="str">
        <x:v>CC1206MKX7RDBB102</x:v>
      </x:c>
      <x:c r="E20" s="13" t="str">
        <x:v>Yageo</x:v>
      </x:c>
      <x:c r="F20" s="13" t="str">
        <x:v>1206</x:v>
      </x:c>
      <x:c r="G20" s="13" t="str">
        <x:v>kicad_api_lib:CC1206MKX7RDBB102</x:v>
      </x:c>
      <x:c r="H20" s="13" t="str"/>
      <x:c r="I20" s="13" t="str">
        <x:v>G4630350</x:v>
      </x:c>
      <x:c r="J20" s="13" t="str"/>
      <x:c r="K20" s="13" t="str">
        <x:v>Chip Capacitor, 1 nF, 2000 V, 1206, 0.2</x:v>
      </x:c>
      <x:c r="L20" s="13" t="str">
        <x:v>嘉立创料号待匹配</x:v>
      </x:c>
    </x:row>
    <x:row r="21" ht="48" customHeight="1">
      <x:c r="A21" s="9" t="str">
        <x:v>C66</x:v>
      </x:c>
      <x:c r="B21" s="9" t="str">
        <x:v>0603X106M100NT</x:v>
      </x:c>
      <x:c r="C21" s="12" t="n">
        <x:v>1</x:v>
      </x:c>
      <x:c r="D21" s="9" t="str">
        <x:v>0603X106M100NT</x:v>
      </x:c>
      <x:c r="E21" s="9" t="str">
        <x:v>Fenghua</x:v>
      </x:c>
      <x:c r="F21" s="9" t="str">
        <x:v>0603</x:v>
      </x:c>
      <x:c r="G21" s="9" t="str">
        <x:v>Capacitor_SMD:C_0402_1005Metric</x:v>
      </x:c>
      <x:c r="H21" s="9" t="str"/>
      <x:c r="I21" s="9" t="str">
        <x:v>G4186294</x:v>
      </x:c>
      <x:c r="J21" s="9" t="str"/>
      <x:c r="K21" s="9" t="str">
        <x:v>温度系数:X5R;精度:±20%;额定电压:10V;容值:10uF;</x:v>
      </x:c>
      <x:c r="L21" s="9" t="str">
        <x:v>嘉立创料号待匹配</x:v>
      </x:c>
    </x:row>
    <x:row r="22" ht="48" customHeight="1">
      <x:c r="A22" s="13" t="str">
        <x:v>C67</x:v>
      </x:c>
      <x:c r="B22" s="13" t="str">
        <x:v>C1005X5R1H104K050BB</x:v>
      </x:c>
      <x:c r="C22" s="14" t="n">
        <x:v>1</x:v>
      </x:c>
      <x:c r="D22" s="13" t="str">
        <x:v>C1005X5R1H104K050BB</x:v>
      </x:c>
      <x:c r="E22" s="13" t="str">
        <x:v>TDK</x:v>
      </x:c>
      <x:c r="F22" s="13" t="str">
        <x:v>0402</x:v>
      </x:c>
      <x:c r="G22" s="13" t="str">
        <x:v>Capacitor_SMD:C_0402_1005Metric</x:v>
      </x:c>
      <x:c r="H22" s="13" t="str"/>
      <x:c r="I22" s="13" t="str">
        <x:v>G0030431</x:v>
      </x:c>
      <x:c r="J22" s="13" t="str"/>
      <x:c r="K22" s="13" t="str">
        <x:v>Chip Capacitor, 100 nF, 50 V, 0402, 10 %</x:v>
      </x:c>
      <x:c r="L22" s="13" t="str">
        <x:v>嘉立创料号待匹配</x:v>
      </x:c>
    </x:row>
    <x:row r="23" ht="60" customHeight="1">
      <x:c r="A23" s="9" t="str">
        <x:v>CN1</x:v>
      </x:c>
      <x:c r="B23" s="9" t="str">
        <x:v>KF2EDGK-5.08-2P</x:v>
      </x:c>
      <x:c r="C23" s="12" t="n">
        <x:v>1</x:v>
      </x:c>
      <x:c r="D23" s="9" t="str">
        <x:v>KF2EDGR-5.08-2P</x:v>
      </x:c>
      <x:c r="E23" s="9" t="str"/>
      <x:c r="F23" s="9" t="str">
        <x:v>THT, P=5.08mm, drill=1.6mm</x:v>
      </x:c>
      <x:c r="G23" s="9" t="str">
        <x:v>kicad_api_lib:KF2EDGR-5.08-2P</x:v>
      </x:c>
      <x:c r="H23" s="9" t="str"/>
      <x:c r="I23" s="9" t="str"/>
      <x:c r="J23" s="9" t="str"/>
      <x:c r="K23" s="9" t="str">
        <x:v>5.08mm 2P pluggable terminal set: KF2EDGK cable plug + KF2EDGR right-angle PCB header; PCB footprint follows KEFA header drawing; verify purchased mating pair.</x:v>
      </x:c>
      <x:c r="L23" s="9" t="str">
        <x:v>品牌待补齐；嘉立创料号待匹配；华秋料号待匹配</x:v>
      </x:c>
    </x:row>
    <x:row r="24" ht="48" customHeight="1">
      <x:c r="A24" s="13" t="str">
        <x:v>CN4</x:v>
      </x:c>
      <x:c r="B24" s="13" t="str">
        <x:v>WJ15EDGRC-3.81-2P</x:v>
      </x:c>
      <x:c r="C24" s="14" t="n">
        <x:v>1</x:v>
      </x:c>
      <x:c r="D24" s="13" t="str">
        <x:v>WJ15EDGRC-3.81-2P</x:v>
      </x:c>
      <x:c r="E24" s="13" t="str">
        <x:v>KANGNEX</x:v>
      </x:c>
      <x:c r="F24" s="13" t="str">
        <x:v>弯插,P=3.81mm</x:v>
      </x:c>
      <x:c r="G24" s="13" t="str">
        <x:v>kicad_api_lib:WJ15EDGRC-3.81-2P</x:v>
      </x:c>
      <x:c r="H24" s="13" t="str"/>
      <x:c r="I24" s="13" t="str">
        <x:v>G4189957</x:v>
      </x:c>
      <x:c r="J24" s="13" t="str"/>
      <x:c r="K24" s="13" t="str">
        <x:v>Plug and pull terminal board end/socket - closed 2Pin spacing: 3.81mm, 1 row of bent pins green</x:v>
      </x:c>
      <x:c r="L24" s="13" t="str">
        <x:v>嘉立创料号待匹配</x:v>
      </x:c>
    </x:row>
    <x:row r="25" ht="48" customHeight="1">
      <x:c r="A25" s="9" t="str">
        <x:v>CN5, CN6, CN7, CN8</x:v>
      </x:c>
      <x:c r="B25" s="9" t="str">
        <x:v>KF15EDGRC3.81-6P</x:v>
      </x:c>
      <x:c r="C25" s="12" t="n">
        <x:v>4</x:v>
      </x:c>
      <x:c r="D25" s="9" t="str">
        <x:v>KF15EDGRC3.81-6P</x:v>
      </x:c>
      <x:c r="E25" s="9" t="str">
        <x:v>KEFA</x:v>
      </x:c>
      <x:c r="F25" s="9" t="str">
        <x:v>弯插,P=3.81mm</x:v>
      </x:c>
      <x:c r="G25" s="9" t="str">
        <x:v>kicad_api_lib:KF15EDGRC3.81-6P</x:v>
      </x:c>
      <x:c r="H25" s="9" t="str"/>
      <x:c r="I25" s="9" t="str"/>
      <x:c r="J25" s="9" t="str"/>
      <x:c r="K25" s="9" t="str">
        <x:v>6P right-angle header, P=3.81mm; geometry from supplied DEGSON 15EDGRC drawing, KF equivalence unverified</x:v>
      </x:c>
      <x:c r="L25" s="9" t="str">
        <x:v>嘉立创料号待匹配；华秋料号待匹配</x:v>
      </x:c>
    </x:row>
    <x:row r="26" ht="48" customHeight="1">
      <x:c r="A26" s="13" t="str">
        <x:v>D1</x:v>
      </x:c>
      <x:c r="B26" s="13" t="str">
        <x:v>SMBJ24A</x:v>
      </x:c>
      <x:c r="C26" s="14" t="n">
        <x:v>1</x:v>
      </x:c>
      <x:c r="D26" s="13" t="str">
        <x:v>SMBJ24A</x:v>
      </x:c>
      <x:c r="E26" s="13" t="str">
        <x:v>Littelfuse</x:v>
      </x:c>
      <x:c r="F26" s="13" t="str">
        <x:v>SMB(DO-214AA)</x:v>
      </x:c>
      <x:c r="G26" s="13" t="str">
        <x:v>kicad_api_lib:SMBJ24A</x:v>
      </x:c>
      <x:c r="H26" s="13" t="str"/>
      <x:c r="I26" s="13" t="str">
        <x:v>G0035000</x:v>
      </x:c>
      <x:c r="J26" s="13" t="str"/>
      <x:c r="K26" s="13" t="str">
        <x:v>TVS DIODE 24VWM 38.9VC DO214AA</x:v>
      </x:c>
      <x:c r="L26" s="13" t="str">
        <x:v>嘉立创料号待匹配</x:v>
      </x:c>
    </x:row>
    <x:row r="27" ht="48" customHeight="1">
      <x:c r="A27" s="9" t="str">
        <x:v>D2, D3, D4</x:v>
      </x:c>
      <x:c r="B27" s="9" t="str">
        <x:v>LED</x:v>
      </x:c>
      <x:c r="C27" s="12" t="n">
        <x:v>3</x:v>
      </x:c>
      <x:c r="D27" s="9" t="str"/>
      <x:c r="E27" s="9" t="str"/>
      <x:c r="F27" s="9" t="str"/>
      <x:c r="G27" s="9" t="str">
        <x:v>LED_SMD:LED_0603_1608Metric</x:v>
      </x:c>
      <x:c r="H27" s="9" t="str"/>
      <x:c r="I27" s="9" t="str"/>
      <x:c r="J27" s="9" t="str"/>
      <x:c r="K27" s="9" t="str">
        <x:v>Light emitting diode</x:v>
      </x:c>
      <x:c r="L27" s="9" t="str">
        <x:v>MPN待补齐；型号/数值按原设计保留；品牌待补齐；嘉立创料号待匹配；华秋料号待匹配</x:v>
      </x:c>
    </x:row>
    <x:row r="28" ht="48" customHeight="1">
      <x:c r="A28" s="13" t="str">
        <x:v>D5</x:v>
      </x:c>
      <x:c r="B28" s="13" t="str">
        <x:v>SS34</x:v>
      </x:c>
      <x:c r="C28" s="14" t="n">
        <x:v>1</x:v>
      </x:c>
      <x:c r="D28" s="13" t="str">
        <x:v>SS34</x:v>
      </x:c>
      <x:c r="E28" s="13" t="str">
        <x:v>ON Semiconductor</x:v>
      </x:c>
      <x:c r="F28" s="13" t="str">
        <x:v>SMC(DO-214AB)</x:v>
      </x:c>
      <x:c r="G28" s="13" t="str">
        <x:v>Diode_SMD:D_SMA</x:v>
      </x:c>
      <x:c r="H28" s="13" t="str"/>
      <x:c r="I28" s="13" t="str">
        <x:v>G3431748</x:v>
      </x:c>
      <x:c r="J28" s="13" t="str"/>
      <x:c r="K28" s="13" t="str">
        <x:v>DIODE SCHOTTKY 40V 3A SMC</x:v>
      </x:c>
      <x:c r="L28" s="13" t="str">
        <x:v>嘉立创料号待匹配</x:v>
      </x:c>
    </x:row>
    <x:row r="29" ht="48" customHeight="1">
      <x:c r="A29" s="9" t="str">
        <x:v>D10, D12, D14, D16</x:v>
      </x:c>
      <x:c r="B29" s="9" t="str">
        <x:v>DIR_CMD_GREEN</x:v>
      </x:c>
      <x:c r="C29" s="12" t="n">
        <x:v>4</x:v>
      </x:c>
      <x:c r="D29" s="9" t="str"/>
      <x:c r="E29" s="9" t="str"/>
      <x:c r="F29" s="9" t="str"/>
      <x:c r="G29" s="9" t="str">
        <x:v>LED_SMD:LED_0603_1608Metric</x:v>
      </x:c>
      <x:c r="H29" s="9" t="str"/>
      <x:c r="I29" s="9" t="str"/>
      <x:c r="J29" s="9" t="str"/>
      <x:c r="K29" s="9" t="str"/>
      <x:c r="L29" s="9" t="str">
        <x:v>MPN待补齐；型号/数值按原设计保留；品牌待补齐；嘉立创料号待匹配；华秋料号待匹配</x:v>
      </x:c>
    </x:row>
    <x:row r="30" ht="48" customHeight="1">
      <x:c r="A30" s="13" t="str">
        <x:v>D11, D13, D15, D17</x:v>
      </x:c>
      <x:c r="B30" s="13" t="str">
        <x:v>RELEASE_YELLOW</x:v>
      </x:c>
      <x:c r="C30" s="14" t="n">
        <x:v>4</x:v>
      </x:c>
      <x:c r="D30" s="13" t="str"/>
      <x:c r="E30" s="13" t="str"/>
      <x:c r="F30" s="13" t="str"/>
      <x:c r="G30" s="13" t="str">
        <x:v>LED_SMD:LED_0603_1608Metric</x:v>
      </x:c>
      <x:c r="H30" s="13" t="str"/>
      <x:c r="I30" s="13" t="str"/>
      <x:c r="J30" s="13" t="str"/>
      <x:c r="K30" s="13" t="str"/>
      <x:c r="L30" s="13" t="str">
        <x:v>MPN待补齐；型号/数值按原设计保留；品牌待补齐；嘉立创料号待匹配；华秋料号待匹配</x:v>
      </x:c>
    </x:row>
    <x:row r="31" ht="48" customHeight="1">
      <x:c r="A31" s="9" t="str">
        <x:v>D18, D19</x:v>
      </x:c>
      <x:c r="B31" s="9" t="str">
        <x:v>KLXES15AAA1</x:v>
      </x:c>
      <x:c r="C31" s="12" t="n">
        <x:v>2</x:v>
      </x:c>
      <x:c r="D31" s="9" t="str">
        <x:v>KLXES15AAA1</x:v>
      </x:c>
      <x:c r="E31" s="9" t="str">
        <x:v>KUU</x:v>
      </x:c>
      <x:c r="F31" s="9" t="str"/>
      <x:c r="G31" s="9" t="str">
        <x:v>kicad_api_lib:KLXES15AAA1</x:v>
      </x:c>
      <x:c r="H31" s="9" t="str"/>
      <x:c r="I31" s="9" t="str"/>
      <x:c r="J31" s="9" t="str"/>
      <x:c r="K31" s="9" t="str">
        <x:v>ESD静电保护管</x:v>
      </x:c>
      <x:c r="L31" s="9" t="str">
        <x:v>嘉立创料号待匹配；华秋料号待匹配</x:v>
      </x:c>
    </x:row>
    <x:row r="32" ht="48" customHeight="1">
      <x:c r="A32" s="13" t="str">
        <x:v>D20</x:v>
      </x:c>
      <x:c r="B32" s="13" t="str">
        <x:v>PRTR5V0U2X</x:v>
      </x:c>
      <x:c r="C32" s="14" t="n">
        <x:v>1</x:v>
      </x:c>
      <x:c r="D32" s="13" t="str">
        <x:v>PRTR5V0U2X</x:v>
      </x:c>
      <x:c r="E32" s="13" t="str">
        <x:v>Nexperia</x:v>
      </x:c>
      <x:c r="F32" s="13" t="str"/>
      <x:c r="G32" s="13" t="str">
        <x:v>kicad_api_lib:PRTR5V0U2X</x:v>
      </x:c>
      <x:c r="H32" s="13" t="str"/>
      <x:c r="I32" s="13" t="str">
        <x:v>G4684805</x:v>
      </x:c>
      <x:c r="J32" s="13" t="str"/>
      <x:c r="K32" s="13" t="str"/>
      <x:c r="L32" s="13" t="str">
        <x:v>嘉立创料号待匹配</x:v>
      </x:c>
    </x:row>
    <x:row r="33" ht="48" customHeight="1">
      <x:c r="A33" s="9" t="str">
        <x:v>D21</x:v>
      </x:c>
      <x:c r="B33" s="9" t="str">
        <x:v>STATUS_GREEN</x:v>
      </x:c>
      <x:c r="C33" s="12" t="n">
        <x:v>1</x:v>
      </x:c>
      <x:c r="D33" s="9" t="str"/>
      <x:c r="E33" s="9" t="str"/>
      <x:c r="F33" s="9" t="str"/>
      <x:c r="G33" s="9" t="str">
        <x:v>LED_SMD:LED_0603_1608Metric</x:v>
      </x:c>
      <x:c r="H33" s="9" t="str"/>
      <x:c r="I33" s="9" t="str"/>
      <x:c r="J33" s="9" t="str"/>
      <x:c r="K33" s="9" t="str"/>
      <x:c r="L33" s="9" t="str">
        <x:v>MPN待补齐；型号/数值按原设计保留；品牌待补齐；嘉立创料号待匹配；华秋料号待匹配</x:v>
      </x:c>
    </x:row>
    <x:row r="34" ht="48" customHeight="1">
      <x:c r="A34" s="13" t="str">
        <x:v>FB2</x:v>
      </x:c>
      <x:c r="B34" s="13" t="str">
        <x:v>UPZ1608E101-3R0TF</x:v>
      </x:c>
      <x:c r="C34" s="14" t="n">
        <x:v>1</x:v>
      </x:c>
      <x:c r="D34" s="13" t="str">
        <x:v>UPZ1608E101-3R0TF</x:v>
      </x:c>
      <x:c r="E34" s="13" t="str">
        <x:v>Sunlord Electronics</x:v>
      </x:c>
      <x:c r="F34" s="13" t="str">
        <x:v>1608</x:v>
      </x:c>
      <x:c r="G34" s="13" t="str">
        <x:v>kicad_api_lib:UPZ1608E101-3R0TF</x:v>
      </x:c>
      <x:c r="H34" s="13" t="str"/>
      <x:c r="I34" s="13" t="str">
        <x:v>G3320338</x:v>
      </x:c>
      <x:c r="J34" s="13" t="str"/>
      <x:c r="K34" s="13" t="str">
        <x:v>多层片式铁氧体磁珠，100MHz，100Ω，±25%</x:v>
      </x:c>
      <x:c r="L34" s="13" t="str">
        <x:v>嘉立创料号待匹配</x:v>
      </x:c>
    </x:row>
    <x:row r="35" ht="48" customHeight="1">
      <x:c r="A35" s="9" t="str">
        <x:v>H5</x:v>
      </x:c>
      <x:c r="B35" s="9" t="str">
        <x:v>X9254WR-04-N0SN</x:v>
      </x:c>
      <x:c r="C35" s="12" t="n">
        <x:v>1</x:v>
      </x:c>
      <x:c r="D35" s="9" t="str">
        <x:v>X9254WR-04-N0SN</x:v>
      </x:c>
      <x:c r="E35" s="9" t="str">
        <x:v>XKB</x:v>
      </x:c>
      <x:c r="F35" s="9" t="str"/>
      <x:c r="G35" s="9" t="str">
        <x:v>kicad_api_lib:X9254WR-04-N0SN</x:v>
      </x:c>
      <x:c r="H35" s="9" t="str"/>
      <x:c r="I35" s="9" t="str">
        <x:v>G12091925</x:v>
      </x:c>
      <x:c r="J35" s="9" t="str"/>
      <x:c r="K35" s="9" t="str">
        <x:v>2.54mm线对线连接器(AMP 2.54)刺破,针座,90度,04P</x:v>
      </x:c>
      <x:c r="L35" s="9" t="str">
        <x:v>嘉立创料号待匹配</x:v>
      </x:c>
    </x:row>
    <x:row r="36" ht="48" customHeight="1">
      <x:c r="A36" s="13" t="str">
        <x:v>J1</x:v>
      </x:c>
      <x:c r="B36" s="13" t="str">
        <x:v>TYPE-C-31-M-31</x:v>
      </x:c>
      <x:c r="C36" s="14" t="n">
        <x:v>1</x:v>
      </x:c>
      <x:c r="D36" s="13" t="str">
        <x:v>TYPE-C-31-M-31</x:v>
      </x:c>
      <x:c r="E36" s="13" t="str">
        <x:v>HRO</x:v>
      </x:c>
      <x:c r="F36" s="13" t="str">
        <x:v>SMD</x:v>
      </x:c>
      <x:c r="G36" s="13" t="str">
        <x:v>kicad_api_lib:TYPE-C-31-M-31</x:v>
      </x:c>
      <x:c r="H36" s="13" t="str"/>
      <x:c r="I36" s="13" t="str">
        <x:v>G5062742</x:v>
      </x:c>
      <x:c r="J36" s="13" t="str"/>
      <x:c r="K36" s="13" t="str">
        <x:v>8.94×7.35×3.26mm，16P，表面贴装式，TYPE-C接口，DC：20V，5A</x:v>
      </x:c>
      <x:c r="L36" s="13" t="str">
        <x:v>嘉立创料号待匹配</x:v>
      </x:c>
    </x:row>
    <x:row r="37" ht="60" customHeight="1">
      <x:c r="A37" s="9" t="str">
        <x:v>J2</x:v>
      </x:c>
      <x:c r="B37" s="9" t="str">
        <x:v>TYPE-C 16PIN 2MD(073)</x:v>
      </x:c>
      <x:c r="C37" s="12" t="n">
        <x:v>1</x:v>
      </x:c>
      <x:c r="D37" s="9" t="str">
        <x:v>TYPE-C 16PIN 2MD(073)</x:v>
      </x:c>
      <x:c r="E37" s="9" t="str">
        <x:v>SHOU HAN</x:v>
      </x:c>
      <x:c r="F37" s="9" t="str">
        <x:v>SMD</x:v>
      </x:c>
      <x:c r="G37" s="9" t="str">
        <x:v>kicad_api_lib:TYPE-C-31-M-31</x:v>
      </x:c>
      <x:c r="H37" s="9" t="str"/>
      <x:c r="I37" s="9" t="str"/>
      <x:c r="J37" s="9" t="str"/>
      <x:c r="K37" s="9" t="str">
        <x:v>连接器类型:Type-C;标准:-;公母:母座;触点数量:16;端口数量:1;安装方式:卧贴;额定电流 - 电源:5A;工作温度范围:-25℃~+85℃;</x:v>
      </x:c>
      <x:c r="L37" s="9" t="str">
        <x:v>嘉立创料号待匹配；华秋料号待匹配</x:v>
      </x:c>
    </x:row>
    <x:row r="38" ht="48" customHeight="1">
      <x:c r="A38" s="13" t="str">
        <x:v>JP2</x:v>
      </x:c>
      <x:c r="B38" s="13" t="str">
        <x:v>Jumper_2_Small_Open</x:v>
      </x:c>
      <x:c r="C38" s="14" t="n">
        <x:v>1</x:v>
      </x:c>
      <x:c r="D38" s="13" t="str"/>
      <x:c r="E38" s="13" t="str"/>
      <x:c r="F38" s="13" t="str"/>
      <x:c r="G38" s="13" t="str">
        <x:v>Connector_PinHeader_2.54mm:PinHeader_1x02_P2.54mm_Vertical</x:v>
      </x:c>
      <x:c r="H38" s="13" t="str"/>
      <x:c r="I38" s="13" t="str"/>
      <x:c r="J38" s="13" t="str"/>
      <x:c r="K38" s="13" t="str">
        <x:v>Jumper, 2-pole, small symbol, open</x:v>
      </x:c>
      <x:c r="L38" s="13" t="str">
        <x:v>MPN待补齐；型号/数值按原设计保留；品牌待补齐；嘉立创料号待匹配；华秋料号待匹配</x:v>
      </x:c>
    </x:row>
    <x:row r="39" ht="48" customHeight="1">
      <x:c r="A39" s="9" t="str">
        <x:v>L1</x:v>
      </x:c>
      <x:c r="B39" s="9" t="str">
        <x:v>SMMS0650-680M</x:v>
      </x:c>
      <x:c r="C39" s="12" t="n">
        <x:v>1</x:v>
      </x:c>
      <x:c r="D39" s="9" t="str">
        <x:v>SMMS0650-680M</x:v>
      </x:c>
      <x:c r="E39" s="9" t="str">
        <x:v>SXN</x:v>
      </x:c>
      <x:c r="F39" s="9" t="str">
        <x:v>SMD,6.6x7.1mm</x:v>
      </x:c>
      <x:c r="G39" s="9" t="str">
        <x:v>kicad_api_lib:SMMS0650-680M</x:v>
      </x:c>
      <x:c r="H39" s="9" t="str"/>
      <x:c r="I39" s="9" t="str">
        <x:v>G5428724</x:v>
      </x:c>
      <x:c r="J39" s="9" t="str"/>
      <x:c r="K39" s="9" t="str">
        <x:v>电感值:68uH;精度:±20%;额定电流:1.5A;饱和电流(Isat):2A;</x:v>
      </x:c>
      <x:c r="L39" s="9" t="str">
        <x:v>嘉立创料号待匹配</x:v>
      </x:c>
    </x:row>
    <x:row r="40" ht="48" customHeight="1">
      <x:c r="A40" s="13" t="str">
        <x:v>L3</x:v>
      </x:c>
      <x:c r="B40" s="13" t="str">
        <x:v>2.2uH</x:v>
      </x:c>
      <x:c r="C40" s="14" t="n">
        <x:v>1</x:v>
      </x:c>
      <x:c r="D40" s="13" t="str">
        <x:v>SWPA3015S2R2NT</x:v>
      </x:c>
      <x:c r="E40" s="13" t="str">
        <x:v>Sunlord Electronics</x:v>
      </x:c>
      <x:c r="F40" s="13" t="str">
        <x:v>SMD</x:v>
      </x:c>
      <x:c r="G40" s="13" t="str">
        <x:v>kicad_api_lib:SWPA3015S2R2NT</x:v>
      </x:c>
      <x:c r="H40" s="13" t="str"/>
      <x:c r="I40" s="13" t="str"/>
      <x:c r="J40" s="13" t="str"/>
      <x:c r="K40" s="13" t="str">
        <x:v>FIXED IND 2.2UH 1.6A 78MOHM SMD</x:v>
      </x:c>
      <x:c r="L40" s="13" t="str">
        <x:v>嘉立创料号待匹配；华秋料号待匹配</x:v>
      </x:c>
    </x:row>
    <x:row r="41" ht="48" customHeight="1">
      <x:c r="A41" s="9" t="str">
        <x:v>L5</x:v>
      </x:c>
      <x:c r="B41" s="9" t="str">
        <x:v>PCAQ2012B-900T040</x:v>
      </x:c>
      <x:c r="C41" s="12" t="n">
        <x:v>1</x:v>
      </x:c>
      <x:c r="D41" s="9" t="str">
        <x:v>PCAQ2012B-900T040</x:v>
      </x:c>
      <x:c r="E41" s="9" t="str">
        <x:v>PROD</x:v>
      </x:c>
      <x:c r="F41" s="9" t="str">
        <x:v>2012</x:v>
      </x:c>
      <x:c r="G41" s="9" t="str">
        <x:v>kicad_api_lib:PCAQ2012B-900T040</x:v>
      </x:c>
      <x:c r="H41" s="9" t="str"/>
      <x:c r="I41" s="9" t="str">
        <x:v>G6651444</x:v>
      </x:c>
      <x:c r="J41" s="9" t="str"/>
      <x:c r="K41" s="9" t="str">
        <x:v>2线路共模扼流圈，90Ω@100MHz，400mA，50V</x:v>
      </x:c>
      <x:c r="L41" s="9" t="str">
        <x:v>嘉立创料号待匹配</x:v>
      </x:c>
    </x:row>
    <x:row r="42" ht="48" customHeight="1">
      <x:c r="A42" s="13" t="str">
        <x:v>Q3</x:v>
      </x:c>
      <x:c r="B42" s="13" t="str">
        <x:v>CJ3134K</x:v>
      </x:c>
      <x:c r="C42" s="14" t="n">
        <x:v>1</x:v>
      </x:c>
      <x:c r="D42" s="13" t="str">
        <x:v>CJ3134K</x:v>
      </x:c>
      <x:c r="E42" s="13" t="str">
        <x:v>JSCJ</x:v>
      </x:c>
      <x:c r="F42" s="13" t="str">
        <x:v>SOT-23</x:v>
      </x:c>
      <x:c r="G42" s="13" t="str">
        <x:v>kicad_api_lib:CJ3134K</x:v>
      </x:c>
      <x:c r="H42" s="13" t="str"/>
      <x:c r="I42" s="13" t="str">
        <x:v>G14554374</x:v>
      </x:c>
      <x:c r="J42" s="13" t="str"/>
      <x:c r="K42" s="13" t="str">
        <x:v>类型:N沟道;漏源电压(Vdss):20V;连续漏极电流(Id):750mA;功率(Pd):350mW;导通电阻(RDS(on)@Vgs,Id):380mΩ@4.5V,650mA;</x:v>
      </x:c>
      <x:c r="L42" s="13" t="str">
        <x:v>嘉立创料号待匹配</x:v>
      </x:c>
    </x:row>
    <x:row r="43" ht="60" customHeight="1">
      <x:c r="A43" s="9" t="str">
        <x:v>Q4, Q5</x:v>
      </x:c>
      <x:c r="B43" s="9" t="str">
        <x:v>CJ3134K KF</x:v>
      </x:c>
      <x:c r="C43" s="12" t="n">
        <x:v>2</x:v>
      </x:c>
      <x:c r="D43" s="9" t="str">
        <x:v>CJ3134K KF</x:v>
      </x:c>
      <x:c r="E43" s="9" t="str">
        <x:v>JSCJ</x:v>
      </x:c>
      <x:c r="F43" s="9" t="str">
        <x:v>SOT-723</x:v>
      </x:c>
      <x:c r="G43" s="9" t="str">
        <x:v>kicad_api_lib:CJ3134K KF</x:v>
      </x:c>
      <x:c r="H43" s="9" t="str"/>
      <x:c r="I43" s="9" t="str">
        <x:v>G11502367</x:v>
      </x:c>
      <x:c r="J43" s="9" t="str"/>
      <x:c r="K43" s="9" t="str">
        <x:v>类型:N沟道;漏源电压(Vdss):20V;连续漏极电流(Id):750mA;功率(Pd):150mW;导通电阻(RDS(on)@Vgs,Id):380mΩ@4.5V,650mA;阈值电压(Vgs(th)@Id):1.1V@250uA;</x:v>
      </x:c>
      <x:c r="L43" s="9" t="str">
        <x:v>嘉立创料号待匹配</x:v>
      </x:c>
    </x:row>
    <x:row r="44" ht="48" customHeight="1">
      <x:c r="A44" s="13" t="str">
        <x:v>R1, R2, R3, R41</x:v>
      </x:c>
      <x:c r="B44" s="13" t="str">
        <x:v>10kΩ</x:v>
      </x:c>
      <x:c r="C44" s="14" t="n">
        <x:v>4</x:v>
      </x:c>
      <x:c r="D44" s="13" t="str"/>
      <x:c r="E44" s="13" t="str"/>
      <x:c r="F44" s="13" t="str"/>
      <x:c r="G44" s="13" t="str">
        <x:v>Resistor_SMD:R_0603_1608Metric</x:v>
      </x:c>
      <x:c r="H44" s="13" t="str"/>
      <x:c r="I44" s="13" t="str"/>
      <x:c r="J44" s="13" t="str"/>
      <x:c r="K44" s="13" t="str">
        <x:v>Resistor, US symbol</x:v>
      </x:c>
      <x:c r="L44" s="13" t="str">
        <x:v>MPN待补齐；型号/数值按原设计保留；品牌待补齐；嘉立创料号待匹配；华秋料号待匹配</x:v>
      </x:c>
    </x:row>
    <x:row r="45" ht="48" customHeight="1">
      <x:c r="A45" s="9" t="str">
        <x:v>R6, R7, R8</x:v>
      </x:c>
      <x:c r="B45" s="9" t="str">
        <x:v>1MΩ</x:v>
      </x:c>
      <x:c r="C45" s="12" t="n">
        <x:v>3</x:v>
      </x:c>
      <x:c r="D45" s="9" t="str"/>
      <x:c r="E45" s="9" t="str"/>
      <x:c r="F45" s="9" t="str"/>
      <x:c r="G45" s="9" t="str">
        <x:v>Resistor_SMD:R_0603_1608Metric</x:v>
      </x:c>
      <x:c r="H45" s="9" t="str"/>
      <x:c r="I45" s="9" t="str"/>
      <x:c r="J45" s="9" t="str"/>
      <x:c r="K45" s="9" t="str">
        <x:v>Resistor, US symbol</x:v>
      </x:c>
      <x:c r="L45" s="9" t="str">
        <x:v>MPN待补齐；型号/数值按原设计保留；品牌待补齐；嘉立创料号待匹配；华秋料号待匹配</x:v>
      </x:c>
    </x:row>
    <x:row r="46" ht="48" customHeight="1">
      <x:c r="A46" s="13" t="str">
        <x:v>R9</x:v>
      </x:c>
      <x:c r="B46" s="13" t="str">
        <x:v>10k</x:v>
      </x:c>
      <x:c r="C46" s="14" t="n">
        <x:v>1</x:v>
      </x:c>
      <x:c r="D46" s="13" t="str">
        <x:v>RC0603JR-0710KL</x:v>
      </x:c>
      <x:c r="E46" s="13" t="str">
        <x:v>YAGEO</x:v>
      </x:c>
      <x:c r="F46" s="13" t="str">
        <x:v>0603</x:v>
      </x:c>
      <x:c r="G46" s="13" t="str">
        <x:v>Resistor_SMD:R_0603_1608Metric</x:v>
      </x:c>
      <x:c r="H46" s="13" t="str"/>
      <x:c r="I46" s="13" t="str"/>
      <x:c r="J46" s="13" t="str">
        <x:v>Resistance=10k；Tolerance=5%</x:v>
      </x:c>
      <x:c r="K46" s="13" t="str">
        <x:v>Chip resistor 0603 (EIA), 10k ohm, 5%, 0.1W</x:v>
      </x:c>
      <x:c r="L46" s="13" t="str">
        <x:v>嘉立创料号待匹配；华秋料号待匹配</x:v>
      </x:c>
    </x:row>
    <x:row r="47" ht="48" customHeight="1">
      <x:c r="A47" s="9" t="str">
        <x:v>R10</x:v>
      </x:c>
      <x:c r="B47" s="9" t="str">
        <x:v>100k</x:v>
      </x:c>
      <x:c r="C47" s="12" t="n">
        <x:v>1</x:v>
      </x:c>
      <x:c r="D47" s="9" t="str"/>
      <x:c r="E47" s="9" t="str"/>
      <x:c r="F47" s="9" t="str"/>
      <x:c r="G47" s="9" t="str">
        <x:v>Resistor_SMD:R_0603_1608Metric</x:v>
      </x:c>
      <x:c r="H47" s="9" t="str"/>
      <x:c r="I47" s="9" t="str"/>
      <x:c r="J47" s="9" t="str"/>
      <x:c r="K47" s="9" t="str">
        <x:v>100k, 1%, feedback upper resistor; +3.3V to FB</x:v>
      </x:c>
      <x:c r="L47" s="9" t="str">
        <x:v>MPN待补齐；型号/数值按原设计保留；品牌待补齐；嘉立创料号待匹配；华秋料号待匹配</x:v>
      </x:c>
    </x:row>
    <x:row r="48" ht="48" customHeight="1">
      <x:c r="A48" s="13" t="str">
        <x:v>R11</x:v>
      </x:c>
      <x:c r="B48" s="13" t="str">
        <x:v>22.1k</x:v>
      </x:c>
      <x:c r="C48" s="14" t="n">
        <x:v>1</x:v>
      </x:c>
      <x:c r="D48" s="13" t="str"/>
      <x:c r="E48" s="13" t="str"/>
      <x:c r="F48" s="13" t="str"/>
      <x:c r="G48" s="13" t="str">
        <x:v>Resistor_SMD:R_0603_1608Metric</x:v>
      </x:c>
      <x:c r="H48" s="13" t="str"/>
      <x:c r="I48" s="13" t="str"/>
      <x:c r="J48" s="13" t="str"/>
      <x:c r="K48" s="13" t="str">
        <x:v>22.1k, 1%, feedback lower resistor; FB to GND</x:v>
      </x:c>
      <x:c r="L48" s="13" t="str">
        <x:v>MPN待补齐；型号/数值按原设计保留；品牌待补齐；嘉立创料号待匹配；华秋料号待匹配</x:v>
      </x:c>
    </x:row>
    <x:row r="49" ht="48" customHeight="1">
      <x:c r="A49" s="9" t="str">
        <x:v>R14, R16, R17, R18, R19, R20</x:v>
      </x:c>
      <x:c r="B49" s="9" t="str">
        <x:v>10kΩ</x:v>
      </x:c>
      <x:c r="C49" s="12" t="n">
        <x:v>6</x:v>
      </x:c>
      <x:c r="D49" s="9" t="str"/>
      <x:c r="E49" s="9" t="str"/>
      <x:c r="F49" s="9" t="str"/>
      <x:c r="G49" s="9" t="str">
        <x:v>Resistor_SMD:R_0603_1608Metric</x:v>
      </x:c>
      <x:c r="H49" s="9" t="str"/>
      <x:c r="I49" s="9" t="str"/>
      <x:c r="J49" s="9" t="str"/>
      <x:c r="K49" s="9" t="str">
        <x:v>Resistor</x:v>
      </x:c>
      <x:c r="L49" s="9" t="str">
        <x:v>MPN待补齐；型号/数值按原设计保留；品牌待补齐；嘉立创料号待匹配；华秋料号待匹配</x:v>
      </x:c>
    </x:row>
    <x:row r="50" ht="48" customHeight="1">
      <x:c r="A50" s="13" t="str">
        <x:v>R15</x:v>
      </x:c>
      <x:c r="B50" s="13" t="str">
        <x:v>1MΩ</x:v>
      </x:c>
      <x:c r="C50" s="14" t="n">
        <x:v>1</x:v>
      </x:c>
      <x:c r="D50" s="13" t="str"/>
      <x:c r="E50" s="13" t="str"/>
      <x:c r="F50" s="13" t="str"/>
      <x:c r="G50" s="13" t="str">
        <x:v>Resistor_SMD:R_0603_1608Metric</x:v>
      </x:c>
      <x:c r="H50" s="13" t="str"/>
      <x:c r="I50" s="13" t="str"/>
      <x:c r="J50" s="13" t="str"/>
      <x:c r="K50" s="13" t="str">
        <x:v>Resistor</x:v>
      </x:c>
      <x:c r="L50" s="13" t="str">
        <x:v>MPN待补齐；型号/数值按原设计保留；品牌待补齐；嘉立创料号待匹配；华秋料号待匹配</x:v>
      </x:c>
    </x:row>
    <x:row r="51" ht="48" customHeight="1">
      <x:c r="A51" s="9" t="str">
        <x:v>R25, R26</x:v>
      </x:c>
      <x:c r="B51" s="9" t="str">
        <x:v>360</x:v>
      </x:c>
      <x:c r="C51" s="12" t="n">
        <x:v>2</x:v>
      </x:c>
      <x:c r="D51" s="9" t="str"/>
      <x:c r="E51" s="9" t="str"/>
      <x:c r="F51" s="9" t="str"/>
      <x:c r="G51" s="9" t="str">
        <x:v>Resistor_SMD:R_0603_1608Metric</x:v>
      </x:c>
      <x:c r="H51" s="9" t="str"/>
      <x:c r="I51" s="9" t="str"/>
      <x:c r="J51" s="9" t="str"/>
      <x:c r="K51" s="9" t="str">
        <x:v>Resistor, US symbol</x:v>
      </x:c>
      <x:c r="L51" s="9" t="str">
        <x:v>MPN待补齐；型号/数值按原设计保留；品牌待补齐；嘉立创料号待匹配；华秋料号待匹配</x:v>
      </x:c>
    </x:row>
    <x:row r="52" ht="48" customHeight="1">
      <x:c r="A52" s="13" t="str">
        <x:v>R27</x:v>
      </x:c>
      <x:c r="B52" s="13" t="str">
        <x:v>CRCW0603120RFKEA</x:v>
      </x:c>
      <x:c r="C52" s="14" t="n">
        <x:v>1</x:v>
      </x:c>
      <x:c r="D52" s="13" t="str">
        <x:v>CRCW0603120RFKEA</x:v>
      </x:c>
      <x:c r="E52" s="13" t="str">
        <x:v>Vishay</x:v>
      </x:c>
      <x:c r="F52" s="13" t="str">
        <x:v>0603</x:v>
      </x:c>
      <x:c r="G52" s="13" t="str">
        <x:v>Resistor_SMD:R_0603_1608Metric</x:v>
      </x:c>
      <x:c r="H52" s="13" t="str"/>
      <x:c r="I52" s="13" t="str">
        <x:v>G0017658</x:v>
      </x:c>
      <x:c r="J52" s="13" t="str"/>
      <x:c r="K52" s="13" t="str">
        <x:v>Chip SMD Resistors, 120 Ω, 100 mW, 1 %, Thick Film, 0603</x:v>
      </x:c>
      <x:c r="L52" s="13" t="str">
        <x:v>嘉立创料号待匹配</x:v>
      </x:c>
    </x:row>
    <x:row r="53" ht="48" customHeight="1">
      <x:c r="A53" s="9" t="str">
        <x:v>R28</x:v>
      </x:c>
      <x:c r="B53" s="9" t="str">
        <x:v>1k</x:v>
      </x:c>
      <x:c r="C53" s="12" t="n">
        <x:v>1</x:v>
      </x:c>
      <x:c r="D53" s="9" t="str"/>
      <x:c r="E53" s="9" t="str"/>
      <x:c r="F53" s="9" t="str"/>
      <x:c r="G53" s="9" t="str">
        <x:v>Resistor_SMD:R_0603_1608Metric</x:v>
      </x:c>
      <x:c r="H53" s="9" t="str"/>
      <x:c r="I53" s="9" t="str"/>
      <x:c r="J53" s="9" t="str">
        <x:v>Tolerance=1%</x:v>
      </x:c>
      <x:c r="K53" s="9" t="str">
        <x:v>Resistor, US symbol</x:v>
      </x:c>
      <x:c r="L53" s="9" t="str">
        <x:v>MPN待补齐；型号/数值按原设计保留；品牌待补齐；嘉立创料号待匹配；华秋料号待匹配</x:v>
      </x:c>
    </x:row>
    <x:row r="54" ht="48" customHeight="1">
      <x:c r="A54" s="13" t="str">
        <x:v>R29, R30</x:v>
      </x:c>
      <x:c r="B54" s="13" t="str">
        <x:v>AF0603JR-0710KL</x:v>
      </x:c>
      <x:c r="C54" s="14" t="n">
        <x:v>2</x:v>
      </x:c>
      <x:c r="D54" s="13" t="str">
        <x:v>AF0603JR-0710KL</x:v>
      </x:c>
      <x:c r="E54" s="13" t="str">
        <x:v>Yageo</x:v>
      </x:c>
      <x:c r="F54" s="13" t="str">
        <x:v>0603</x:v>
      </x:c>
      <x:c r="G54" s="13" t="str">
        <x:v>Resistor_SMD:R_0603_1608Metric</x:v>
      </x:c>
      <x:c r="H54" s="13" t="str"/>
      <x:c r="I54" s="13" t="str">
        <x:v>G6606958</x:v>
      </x:c>
      <x:c r="J54" s="13" t="str"/>
      <x:c r="K54" s="13" t="str">
        <x:v>Chip SMD Resistors, 10 kΩ, 100 mW, 0.05, Thick Film, 0603</x:v>
      </x:c>
      <x:c r="L54" s="13" t="str">
        <x:v>嘉立创料号待匹配</x:v>
      </x:c>
    </x:row>
    <x:row r="55" ht="48" customHeight="1">
      <x:c r="A55" s="9" t="str">
        <x:v>R31</x:v>
      </x:c>
      <x:c r="B55" s="9" t="str">
        <x:v>330</x:v>
      </x:c>
      <x:c r="C55" s="12" t="n">
        <x:v>1</x:v>
      </x:c>
      <x:c r="D55" s="9" t="str"/>
      <x:c r="E55" s="9" t="str"/>
      <x:c r="F55" s="9" t="str"/>
      <x:c r="G55" s="9" t="str">
        <x:v>Resistor_SMD:R_0603_1608Metric</x:v>
      </x:c>
      <x:c r="H55" s="9" t="str"/>
      <x:c r="I55" s="9" t="str"/>
      <x:c r="J55" s="9" t="str">
        <x:v>Tolerance=1%</x:v>
      </x:c>
      <x:c r="K55" s="9" t="str">
        <x:v>Resistor, US symbol</x:v>
      </x:c>
      <x:c r="L55" s="9" t="str">
        <x:v>MPN待补齐；型号/数值按原设计保留；品牌待补齐；嘉立创料号待匹配；华秋料号待匹配</x:v>
      </x:c>
    </x:row>
    <x:row r="56" ht="48" customHeight="1">
      <x:c r="A56" s="13" t="str">
        <x:v>R32</x:v>
      </x:c>
      <x:c r="B56" s="13" t="str">
        <x:v>4.7k</x:v>
      </x:c>
      <x:c r="C56" s="14" t="n">
        <x:v>1</x:v>
      </x:c>
      <x:c r="D56" s="13" t="str"/>
      <x:c r="E56" s="13" t="str"/>
      <x:c r="F56" s="13" t="str"/>
      <x:c r="G56" s="13" t="str">
        <x:v>Resistor_SMD:R_0603_1608Metric</x:v>
      </x:c>
      <x:c r="H56" s="13" t="str"/>
      <x:c r="I56" s="13" t="str"/>
      <x:c r="J56" s="13" t="str">
        <x:v>Tolerance=1%</x:v>
      </x:c>
      <x:c r="K56" s="13" t="str">
        <x:v>Resistor, US symbol</x:v>
      </x:c>
      <x:c r="L56" s="13" t="str">
        <x:v>MPN待补齐；型号/数值按原设计保留；品牌待补齐；嘉立创料号待匹配；华秋料号待匹配</x:v>
      </x:c>
    </x:row>
    <x:row r="57" ht="48" customHeight="1">
      <x:c r="A57" s="9" t="str">
        <x:v>R33, R35, R46, R48, R74</x:v>
      </x:c>
      <x:c r="B57" s="9" t="str">
        <x:v>1k</x:v>
      </x:c>
      <x:c r="C57" s="12" t="n">
        <x:v>5</x:v>
      </x:c>
      <x:c r="D57" s="9" t="str"/>
      <x:c r="E57" s="9" t="str"/>
      <x:c r="F57" s="9" t="str"/>
      <x:c r="G57" s="9" t="str">
        <x:v>Resistor_SMD:R_0603_1608Metric</x:v>
      </x:c>
      <x:c r="H57" s="9" t="str"/>
      <x:c r="I57" s="9" t="str"/>
      <x:c r="J57" s="9" t="str"/>
      <x:c r="K57" s="9" t="str"/>
      <x:c r="L57" s="9" t="str">
        <x:v>MPN待补齐；型号/数值按原设计保留；品牌待补齐；嘉立创料号待匹配；华秋料号待匹配</x:v>
      </x:c>
    </x:row>
    <x:row r="58" ht="48" customHeight="1">
      <x:c r="A58" s="13" t="str">
        <x:v>R34, R36, R47, R49</x:v>
      </x:c>
      <x:c r="B58" s="13" t="str">
        <x:v>2.2k</x:v>
      </x:c>
      <x:c r="C58" s="14" t="n">
        <x:v>4</x:v>
      </x:c>
      <x:c r="D58" s="13" t="str"/>
      <x:c r="E58" s="13" t="str"/>
      <x:c r="F58" s="13" t="str"/>
      <x:c r="G58" s="13" t="str">
        <x:v>Resistor_SMD:R_0603_1608Metric</x:v>
      </x:c>
      <x:c r="H58" s="13" t="str"/>
      <x:c r="I58" s="13" t="str"/>
      <x:c r="J58" s="13" t="str"/>
      <x:c r="K58" s="13" t="str"/>
      <x:c r="L58" s="13" t="str">
        <x:v>MPN待补齐；型号/数值按原设计保留；品牌待补齐；嘉立创料号待匹配；华秋料号待匹配</x:v>
      </x:c>
    </x:row>
    <x:row r="59" ht="48" customHeight="1">
      <x:c r="A59" s="9" t="str">
        <x:v>R37, R38, R39, R40, R50, R51, R52, R53</x:v>
      </x:c>
      <x:c r="B59" s="9" t="str">
        <x:v>10k</x:v>
      </x:c>
      <x:c r="C59" s="12" t="n">
        <x:v>8</x:v>
      </x:c>
      <x:c r="D59" s="9" t="str"/>
      <x:c r="E59" s="9" t="str"/>
      <x:c r="F59" s="9" t="str"/>
      <x:c r="G59" s="9" t="str">
        <x:v>Resistor_SMD:R_0603_1608Metric</x:v>
      </x:c>
      <x:c r="H59" s="9" t="str"/>
      <x:c r="I59" s="9" t="str"/>
      <x:c r="J59" s="9" t="str"/>
      <x:c r="K59" s="9" t="str"/>
      <x:c r="L59" s="9" t="str">
        <x:v>MPN待补齐；型号/数值按原设计保留；品牌待补齐；嘉立创料号待匹配；华秋料号待匹配</x:v>
      </x:c>
    </x:row>
    <x:row r="60" ht="48" customHeight="1">
      <x:c r="A60" s="13" t="str">
        <x:v>R42, R43, R44, R45</x:v>
      </x:c>
      <x:c r="B60" s="13" t="str">
        <x:v>4.7kΩ</x:v>
      </x:c>
      <x:c r="C60" s="14" t="n">
        <x:v>4</x:v>
      </x:c>
      <x:c r="D60" s="13" t="str"/>
      <x:c r="E60" s="13" t="str"/>
      <x:c r="F60" s="13" t="str"/>
      <x:c r="G60" s="13" t="str">
        <x:v>Resistor_SMD:R_0603_1608Metric</x:v>
      </x:c>
      <x:c r="H60" s="13" t="str"/>
      <x:c r="I60" s="13" t="str"/>
      <x:c r="J60" s="13" t="str"/>
      <x:c r="K60" s="13" t="str">
        <x:v>Resistor, small US symbol</x:v>
      </x:c>
      <x:c r="L60" s="13" t="str">
        <x:v>MPN待补齐；型号/数值按原设计保留；品牌待补齐；嘉立创料号待匹配；华秋料号待匹配</x:v>
      </x:c>
    </x:row>
    <x:row r="61" ht="48" customHeight="1">
      <x:c r="A61" s="9" t="str">
        <x:v>R57, R58, R61, R62</x:v>
      </x:c>
      <x:c r="B61" s="9" t="str">
        <x:v>4.7k</x:v>
      </x:c>
      <x:c r="C61" s="12" t="n">
        <x:v>4</x:v>
      </x:c>
      <x:c r="D61" s="9" t="str">
        <x:v>RC0603JR-074K7L</x:v>
      </x:c>
      <x:c r="E61" s="9" t="str">
        <x:v>YAGEO</x:v>
      </x:c>
      <x:c r="F61" s="9" t="str">
        <x:v>0603</x:v>
      </x:c>
      <x:c r="G61" s="9" t="str">
        <x:v>Resistor_SMD:R_0603_1608Metric</x:v>
      </x:c>
      <x:c r="H61" s="9" t="str"/>
      <x:c r="I61" s="9" t="str"/>
      <x:c r="J61" s="9" t="str">
        <x:v>Resistance=4.7k；Tolerance=5%</x:v>
      </x:c>
      <x:c r="K61" s="9" t="str">
        <x:v>Chip resistor 0603 (EIA), 4.7k ohm, 5%, 0.1W</x:v>
      </x:c>
      <x:c r="L61" s="9" t="str">
        <x:v>嘉立创料号待匹配；华秋料号待匹配</x:v>
      </x:c>
    </x:row>
    <x:row r="62" ht="48" customHeight="1">
      <x:c r="A62" s="13" t="str">
        <x:v>R59, R60</x:v>
      </x:c>
      <x:c r="B62" s="13" t="str">
        <x:v>RC0402FR-075K1L</x:v>
      </x:c>
      <x:c r="C62" s="14" t="n">
        <x:v>2</x:v>
      </x:c>
      <x:c r="D62" s="13" t="str">
        <x:v>RC0402FR-075K1L</x:v>
      </x:c>
      <x:c r="E62" s="13" t="str">
        <x:v>Yageo</x:v>
      </x:c>
      <x:c r="F62" s="13" t="str">
        <x:v>0402</x:v>
      </x:c>
      <x:c r="G62" s="13" t="str">
        <x:v>Resistor_SMD:R_0402_1005Metric</x:v>
      </x:c>
      <x:c r="H62" s="13" t="str"/>
      <x:c r="I62" s="13" t="str">
        <x:v>G0037014</x:v>
      </x:c>
      <x:c r="J62" s="13" t="str"/>
      <x:c r="K62" s="13" t="str">
        <x:v>Chip SMD Resistors, 5.1 kΩ, 62.5 mW, 0.01, Thick Film, 0402</x:v>
      </x:c>
      <x:c r="L62" s="13" t="str">
        <x:v>嘉立创料号待匹配</x:v>
      </x:c>
    </x:row>
    <x:row r="63" ht="48" customHeight="1">
      <x:c r="A63" s="9" t="str">
        <x:v>R63, R64</x:v>
      </x:c>
      <x:c r="B63" s="9" t="str">
        <x:v>0402WGF220JTCE</x:v>
      </x:c>
      <x:c r="C63" s="12" t="n">
        <x:v>2</x:v>
      </x:c>
      <x:c r="D63" s="9" t="str">
        <x:v>0402WGF220JTCE</x:v>
      </x:c>
      <x:c r="E63" s="9" t="str">
        <x:v>Royal Electronic Factory</x:v>
      </x:c>
      <x:c r="F63" s="9" t="str">
        <x:v>0402</x:v>
      </x:c>
      <x:c r="G63" s="9" t="str">
        <x:v>Resistor_SMD:R_0402_1005Metric</x:v>
      </x:c>
      <x:c r="H63" s="9" t="str"/>
      <x:c r="I63" s="9" t="str">
        <x:v>G0068188</x:v>
      </x:c>
      <x:c r="J63" s="9" t="str"/>
      <x:c r="K63" s="9" t="str">
        <x:v>Chip Resistors 0402 22Ω ±1% 1/16W ±100ppm/℃</x:v>
      </x:c>
      <x:c r="L63" s="9" t="str">
        <x:v>嘉立创料号待匹配</x:v>
      </x:c>
    </x:row>
    <x:row r="64" ht="48" customHeight="1">
      <x:c r="A64" s="13" t="str">
        <x:v>R65</x:v>
      </x:c>
      <x:c r="B64" s="13" t="str">
        <x:v>0402WGF1001TCE</x:v>
      </x:c>
      <x:c r="C64" s="14" t="n">
        <x:v>1</x:v>
      </x:c>
      <x:c r="D64" s="13" t="str">
        <x:v>0402WGF1001TCE</x:v>
      </x:c>
      <x:c r="E64" s="13" t="str">
        <x:v>Royal Electronic Factory</x:v>
      </x:c>
      <x:c r="F64" s="13" t="str">
        <x:v>0402</x:v>
      </x:c>
      <x:c r="G64" s="13" t="str">
        <x:v>kicad_api_lib:0402WGF1001TCE</x:v>
      </x:c>
      <x:c r="H64" s="13" t="str"/>
      <x:c r="I64" s="13" t="str">
        <x:v>G0063277</x:v>
      </x:c>
      <x:c r="J64" s="13" t="str"/>
      <x:c r="K64" s="13" t="str">
        <x:v>Chip Resistors 0402 1KΩ ±1% 1/16W ±100ppm/℃</x:v>
      </x:c>
      <x:c r="L64" s="13" t="str">
        <x:v>嘉立创料号待匹配</x:v>
      </x:c>
    </x:row>
    <x:row r="65" ht="48" customHeight="1">
      <x:c r="A65" s="9" t="str">
        <x:v>SW1</x:v>
      </x:c>
      <x:c r="B65" s="9" t="str">
        <x:v>SKRPACE010</x:v>
      </x:c>
      <x:c r="C65" s="12" t="n">
        <x:v>1</x:v>
      </x:c>
      <x:c r="D65" s="9" t="str">
        <x:v>SKRPACE010</x:v>
      </x:c>
      <x:c r="E65" s="9" t="str">
        <x:v>Alps Electric</x:v>
      </x:c>
      <x:c r="F65" s="9" t="str"/>
      <x:c r="G65" s="9" t="str">
        <x:v>kicad_api_lib:SKRPACE010</x:v>
      </x:c>
      <x:c r="H65" s="9" t="str"/>
      <x:c r="I65" s="9" t="str">
        <x:v>G0057037</x:v>
      </x:c>
      <x:c r="J65" s="9" t="str"/>
      <x:c r="K65" s="9" t="str">
        <x:v>轻触开关，单刀单掷，1V~16V，10µA~50mA，500mΩ</x:v>
      </x:c>
      <x:c r="L65" s="9" t="str">
        <x:v>嘉立创料号待匹配</x:v>
      </x:c>
    </x:row>
    <x:row r="66" ht="48" customHeight="1">
      <x:c r="A66" s="13" t="str">
        <x:v>U1</x:v>
      </x:c>
      <x:c r="B66" s="13" t="str">
        <x:v>XL1509-5.0</x:v>
      </x:c>
      <x:c r="C66" s="14" t="n">
        <x:v>1</x:v>
      </x:c>
      <x:c r="D66" s="13" t="str">
        <x:v>XL1509-5.0</x:v>
      </x:c>
      <x:c r="E66" s="13" t="str">
        <x:v>UMW</x:v>
      </x:c>
      <x:c r="F66" s="13" t="str">
        <x:v>SOIC-8</x:v>
      </x:c>
      <x:c r="G66" s="13" t="str">
        <x:v>kicad_api_lib:XL1509-5.0</x:v>
      </x:c>
      <x:c r="H66" s="13" t="str"/>
      <x:c r="I66" s="13" t="str"/>
      <x:c r="J66" s="13" t="str"/>
      <x:c r="K66" s="13" t="str"/>
      <x:c r="L66" s="13" t="str">
        <x:v>嘉立创料号待匹配；华秋料号待匹配</x:v>
      </x:c>
    </x:row>
    <x:row r="67" ht="48" customHeight="1">
      <x:c r="A67" s="9" t="str">
        <x:v>U5, U24, U25</x:v>
      </x:c>
      <x:c r="B67" s="9" t="str">
        <x:v>LM66100DCKR</x:v>
      </x:c>
      <x:c r="C67" s="12" t="n">
        <x:v>3</x:v>
      </x:c>
      <x:c r="D67" s="9" t="str">
        <x:v>LM66100DCKR</x:v>
      </x:c>
      <x:c r="E67" s="9" t="str">
        <x:v>Texas Instruments (TI)</x:v>
      </x:c>
      <x:c r="F67" s="9" t="str">
        <x:v>SC-70-6</x:v>
      </x:c>
      <x:c r="G67" s="9" t="str">
        <x:v>kicad_api_lib:LM66100DCKR</x:v>
      </x:c>
      <x:c r="H67" s="9" t="str"/>
      <x:c r="I67" s="9" t="str">
        <x:v>G4607254</x:v>
      </x:c>
      <x:c r="J67" s="9" t="str"/>
      <x:c r="K67" s="9" t="str">
        <x:v>IC OR CTRLR IDEAL DIODE SC70-6</x:v>
      </x:c>
      <x:c r="L67" s="9" t="str">
        <x:v>嘉立创料号待匹配</x:v>
      </x:c>
    </x:row>
    <x:row r="68" ht="48" customHeight="1">
      <x:c r="A68" s="13" t="str">
        <x:v>U6</x:v>
      </x:c>
      <x:c r="B68" s="13" t="str">
        <x:v>SY8089A1AAC</x:v>
      </x:c>
      <x:c r="C68" s="14" t="n">
        <x:v>1</x:v>
      </x:c>
      <x:c r="D68" s="13" t="str">
        <x:v>SY8089A1AAC</x:v>
      </x:c>
      <x:c r="E68" s="13" t="str">
        <x:v>Silergy</x:v>
      </x:c>
      <x:c r="F68" s="13" t="str">
        <x:v>SOT23-5</x:v>
      </x:c>
      <x:c r="G68" s="13" t="str">
        <x:v>Package_TO_SOT_SMD:SOT-23-5</x:v>
      </x:c>
      <x:c r="H68" s="13" t="str"/>
      <x:c r="I68" s="13" t="str"/>
      <x:c r="J68" s="13" t="str"/>
      <x:c r="K68" s="13" t="str">
        <x:v>2.5-5.5V input, 2A synchronous buck, 1.5MHz, 0.6V FB; Silergy SY8089A1AAC</x:v>
      </x:c>
      <x:c r="L68" s="13" t="str">
        <x:v>嘉立创料号待匹配；华秋料号待匹配</x:v>
      </x:c>
    </x:row>
    <x:row r="69" ht="48" customHeight="1">
      <x:c r="A69" s="9" t="str">
        <x:v>U7</x:v>
      </x:c>
      <x:c r="B69" s="9" t="str">
        <x:v>GD32F303VET6</x:v>
      </x:c>
      <x:c r="C69" s="12" t="n">
        <x:v>1</x:v>
      </x:c>
      <x:c r="D69" s="9" t="str"/>
      <x:c r="E69" s="9" t="str"/>
      <x:c r="F69" s="9" t="str"/>
      <x:c r="G69" s="9" t="str">
        <x:v>kicad_api_lib:GD32F303VET6</x:v>
      </x:c>
      <x:c r="H69" s="9" t="str"/>
      <x:c r="I69" s="9" t="str"/>
      <x:c r="J69" s="9" t="str"/>
      <x:c r="K69" s="9" t="str"/>
      <x:c r="L69" s="9" t="str">
        <x:v>MPN待补齐；型号/数值按原设计保留；品牌待补齐；嘉立创料号待匹配；华秋料号待匹配</x:v>
      </x:c>
    </x:row>
    <x:row r="70" ht="48" customHeight="1">
      <x:c r="A70" s="13" t="str">
        <x:v>U8</x:v>
      </x:c>
      <x:c r="B70" s="13" t="str">
        <x:v>GD25Q16ESIGR</x:v>
      </x:c>
      <x:c r="C70" s="14" t="n">
        <x:v>1</x:v>
      </x:c>
      <x:c r="D70" s="13" t="str">
        <x:v>GD25Q16ESIGR</x:v>
      </x:c>
      <x:c r="E70" s="13" t="str">
        <x:v>GigaDevice</x:v>
      </x:c>
      <x:c r="F70" s="13" t="str">
        <x:v>SOP-8-208mil</x:v>
      </x:c>
      <x:c r="G70" s="13" t="str">
        <x:v>kicad_api_lib:GD25Q16ESIGR</x:v>
      </x:c>
      <x:c r="H70" s="13" t="str"/>
      <x:c r="I70" s="13" t="str">
        <x:v>G5425615</x:v>
      </x:c>
      <x:c r="J70" s="13" t="str"/>
      <x:c r="K70" s="13" t="str">
        <x:v>16MBIT NOR FLASH /3.3V /SOP8 208</x:v>
      </x:c>
      <x:c r="L70" s="13" t="str">
        <x:v>嘉立创料号待匹配</x:v>
      </x:c>
    </x:row>
    <x:row r="71" ht="48" customHeight="1">
      <x:c r="A71" s="9" t="str">
        <x:v>U13</x:v>
      </x:c>
      <x:c r="B71" s="9" t="str">
        <x:v>SIT3485ESA</x:v>
      </x:c>
      <x:c r="C71" s="12" t="n">
        <x:v>1</x:v>
      </x:c>
      <x:c r="D71" s="9" t="str">
        <x:v>SIT3485ESA</x:v>
      </x:c>
      <x:c r="E71" s="9" t="str">
        <x:v>SIT</x:v>
      </x:c>
      <x:c r="F71" s="9" t="str">
        <x:v>SOP-8</x:v>
      </x:c>
      <x:c r="G71" s="9" t="str">
        <x:v>kicad_api_lib:SIT3485ESA</x:v>
      </x:c>
      <x:c r="H71" s="9" t="str"/>
      <x:c r="I71" s="9" t="str">
        <x:v>G5053794</x:v>
      </x:c>
      <x:c r="J71" s="9" t="str"/>
      <x:c r="K71" s="9" t="str">
        <x:v>类型:收发器;驱动器/接收器:1/1;数据速率:12Mbps;</x:v>
      </x:c>
      <x:c r="L71" s="9" t="str">
        <x:v>嘉立创料号待匹配</x:v>
      </x:c>
    </x:row>
    <x:row r="72" ht="48" customHeight="1">
      <x:c r="A72" s="13" t="str">
        <x:v>U15</x:v>
      </x:c>
      <x:c r="B72" s="13" t="str">
        <x:v>TXS0104EPWR</x:v>
      </x:c>
      <x:c r="C72" s="14" t="n">
        <x:v>1</x:v>
      </x:c>
      <x:c r="D72" s="13" t="str">
        <x:v>TXS0104EPWR</x:v>
      </x:c>
      <x:c r="E72" s="13" t="str">
        <x:v>Texas Instruments (TI)</x:v>
      </x:c>
      <x:c r="F72" s="13" t="str">
        <x:v>TSSOP-14</x:v>
      </x:c>
      <x:c r="G72" s="13" t="str">
        <x:v>kicad_api_lib:TXS0104EPWR</x:v>
      </x:c>
      <x:c r="H72" s="13" t="str"/>
      <x:c r="I72" s="13" t="str">
        <x:v>G2104690</x:v>
      </x:c>
      <x:c r="J72" s="13" t="str"/>
      <x:c r="K72" s="13" t="str">
        <x:v>IC TRNSLTR BIDIRECTIONAL 14TSSOP</x:v>
      </x:c>
      <x:c r="L72" s="13" t="str">
        <x:v>嘉立创料号待匹配</x:v>
      </x:c>
    </x:row>
    <x:row r="73" ht="48" customHeight="1">
      <x:c r="A73" s="9" t="str">
        <x:v>U17, U18, U19, U20</x:v>
      </x:c>
      <x:c r="B73" s="9" t="str">
        <x:v>SN74LVC2G06DBVR</x:v>
      </x:c>
      <x:c r="C73" s="12" t="n">
        <x:v>4</x:v>
      </x:c>
      <x:c r="D73" s="9" t="str"/>
      <x:c r="E73" s="9" t="str"/>
      <x:c r="F73" s="9" t="str"/>
      <x:c r="G73" s="9" t="str">
        <x:v>Package_TO_SOT_SMD:SOT-23-6</x:v>
      </x:c>
      <x:c r="H73" s="9" t="str"/>
      <x:c r="I73" s="9" t="str"/>
      <x:c r="J73" s="9" t="str"/>
      <x:c r="K73" s="9" t="str"/>
      <x:c r="L73" s="9" t="str">
        <x:v>MPN待补齐；型号/数值按原设计保留；品牌待补齐；嘉立创料号待匹配；华秋料号待匹配</x:v>
      </x:c>
    </x:row>
    <x:row r="74" ht="48" customHeight="1">
      <x:c r="A74" s="13" t="str">
        <x:v>U23</x:v>
      </x:c>
      <x:c r="B74" s="13" t="str">
        <x:v>CH340N</x:v>
      </x:c>
      <x:c r="C74" s="14" t="n">
        <x:v>1</x:v>
      </x:c>
      <x:c r="D74" s="13" t="str">
        <x:v>CH340N</x:v>
      </x:c>
      <x:c r="E74" s="13" t="str">
        <x:v>WCH</x:v>
      </x:c>
      <x:c r="F74" s="13" t="str">
        <x:v>SOP-8</x:v>
      </x:c>
      <x:c r="G74" s="13" t="str">
        <x:v>kicad_api_lib:CH340N</x:v>
      </x:c>
      <x:c r="H74" s="13" t="str"/>
      <x:c r="I74" s="13" t="str"/>
      <x:c r="J74" s="13" t="str"/>
      <x:c r="K74" s="13" t="str">
        <x:v>SOP-8  USB ICs ROHS</x:v>
      </x:c>
      <x:c r="L74" s="13" t="str">
        <x:v>嘉立创料号待匹配；华秋料号待匹配</x:v>
      </x:c>
    </x:row>
    <x:row r="75" ht="48" customHeight="1">
      <x:c r="A75" s="9" t="str">
        <x:v>Y1</x:v>
      </x:c>
      <x:c r="B75" s="9" t="str">
        <x:v>TAXM8M4RDBCCT2T</x:v>
      </x:c>
      <x:c r="C75" s="12" t="n">
        <x:v>1</x:v>
      </x:c>
      <x:c r="D75" s="9" t="str">
        <x:v>TAXM8M4RDBCCT2T</x:v>
      </x:c>
      <x:c r="E75" s="9" t="str">
        <x:v>YJX</x:v>
      </x:c>
      <x:c r="F75" s="9" t="str">
        <x:v>SMD3225-4P</x:v>
      </x:c>
      <x:c r="G75" s="9" t="str">
        <x:v>kicad_api_lib:TAXM8M4RDBCCT2T</x:v>
      </x:c>
      <x:c r="H75" s="9" t="str"/>
      <x:c r="I75" s="9" t="str">
        <x:v>G14520298</x:v>
      </x:c>
      <x:c r="J75" s="9" t="str"/>
      <x:c r="K75" s="9" t="str">
        <x:v>Passive Crystal Oscillators, 8 MHz, SMD3225-4P</x:v>
      </x:c>
      <x:c r="L75" s="9" t="str">
        <x:v>嘉立创料号待匹配</x:v>
      </x:c>
    </x:row>
    <x:row r="76" ht="48" customHeight="1">
      <x:c r="A76" s="13" t="str">
        <x:v>Y2</x:v>
      </x:c>
      <x:c r="B76" s="13" t="str">
        <x:v>XKXGI-SUA-32.768K</x:v>
      </x:c>
      <x:c r="C76" s="14" t="n">
        <x:v>1</x:v>
      </x:c>
      <x:c r="D76" s="13" t="str">
        <x:v>XKXGI-SUA-32.768K</x:v>
      </x:c>
      <x:c r="E76" s="13" t="str">
        <x:v>YXC</x:v>
      </x:c>
      <x:c r="F76" s="13" t="str">
        <x:v>SMD3215_2P</x:v>
      </x:c>
      <x:c r="G76" s="13" t="str">
        <x:v>kicad_api_lib:XKXGI-SUA-32.768K</x:v>
      </x:c>
      <x:c r="H76" s="13" t="str"/>
      <x:c r="I76" s="13" t="str">
        <x:v>G6622305</x:v>
      </x:c>
      <x:c r="J76" s="13" t="str"/>
      <x:c r="K76" s="13" t="str">
        <x:v>Passive Crystal Oscillators, 32.768 kHz, SMD3215_2P</x:v>
      </x:c>
      <x:c r="L76" s="13" t="str">
        <x:v>嘉立创料号待匹配</x:v>
      </x:c>
    </x:row>
  </x:sheetData>
  <x:mergeCells>
    <x:mergeCell ref="A1:F1"/>
    <x:mergeCell ref="A2:F2"/>
    <x:mergeCell ref="A4:F4"/>
  </x:mergeCells>
  <x:pageMargins left="0.7" right="0.7" top="0.75" bottom="0.75" header="0.3" footer="0.3"/>
  <x:tableParts count="1">
    <x:tablePart xmlns:r="http://schemas.openxmlformats.org/officeDocument/2006/relationships" r:id="Rcf662161f58542e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28" hidden="0" customWidth="1"/>
    <x:col min="3" max="3" width="12" hidden="0" customWidth="1"/>
    <x:col min="4" max="4" width="38" hidden="0" customWidth="1"/>
    <x:col min="5" max="5" width="29" hidden="0" customWidth="1"/>
    <x:col min="6" max="6" width="24" hidden="0" customWidth="1"/>
    <x:col min="7" max="7" width="12" hidden="0" customWidth="1"/>
    <x:col min="8" max="8" width="49" hidden="0" customWidth="1"/>
    <x:col min="9" max="9" width="49" hidden="0" customWidth="1"/>
    <x:col min="10" max="10" width="18" hidden="0" customWidth="1"/>
    <x:col min="11" max="11" width="18" hidden="0" customWidth="1"/>
    <x:col min="12" max="12" width="30" hidden="0" customWidth="1"/>
    <x:col min="13" max="13" width="31" hidden="0" customWidth="1"/>
    <x:col min="14" max="14" width="48" hidden="0" customWidth="1"/>
    <x:col min="15" max="15" width="58" hidden="0" customWidth="1"/>
    <x:col min="16" max="16" width="43" hidden="0" customWidth="1"/>
  </x:cols>
  <x:sheetData>
    <x:row r="1" ht="32" customHeight="1">
      <x:c r="A1" s="4" t="str">
        <x:v>GD32F303VET6 四电机控制板 · 逐件明细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3" t="str">
        <x:v>来源：2026-10-28 本地保存版本独立快照；数量按单板计算。缺失料号留空，未进行在线采购匹配。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8" customHeight="1">
      <x:c r="A3" s="6" t="str">
        <x:v>采购类别</x:v>
      </x:c>
      <x:c r="B3" s="7" t="n">
        <x:v>70</x:v>
      </x:c>
      <x:c r="C3" s="6" t="str">
        <x:v>单板总件数</x:v>
      </x:c>
      <x:c r="D3" s="7" t="n">
        <x:f>'采购汇总'!D3</x:f>
        <x:v>151</x:v>
      </x:c>
      <x:c r="E3" s="6" t="str">
        <x:v>PCB封装数</x:v>
      </x:c>
      <x:c r="F3" s="7" t="n">
        <x:v>200</x:v>
      </x:c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52" customHeight="1">
      <x:c r="A4" s="8" t="str">
        <x:v>包含276个原理图器件、276条逐件明细；采购数量为0的行保留原始装配状态。板图差异见各行备注及检查报告。</x:v>
      </x:c>
      <x:c r="B4" s="8"/>
      <x:c r="C4" s="8"/>
      <x:c r="D4" s="8"/>
      <x:c r="E4" s="8"/>
      <x:c r="F4" s="8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36" customHeight="1">
      <x:c r="A6" s="11" t="str">
        <x:v>位号</x:v>
      </x:c>
      <x:c r="B6" s="11" t="str">
        <x:v>型号 / 数值</x:v>
      </x:c>
      <x:c r="C6" s="11" t="str">
        <x:v>采购数量</x:v>
      </x:c>
      <x:c r="D6" s="11" t="str">
        <x:v>装配状态</x:v>
      </x:c>
      <x:c r="E6" s="11" t="str">
        <x:v>制造商料号 MPN</x:v>
      </x:c>
      <x:c r="F6" s="11" t="str">
        <x:v>品牌</x:v>
      </x:c>
      <x:c r="G6" s="11" t="str">
        <x:v>板面</x:v>
      </x:c>
      <x:c r="H6" s="11" t="str">
        <x:v>PCB封装 / 无PCB时原理图封装</x:v>
      </x:c>
      <x:c r="I6" s="11" t="str">
        <x:v>原理图封装</x:v>
      </x:c>
      <x:c r="J6" s="11" t="str">
        <x:v>嘉立创料号</x:v>
      </x:c>
      <x:c r="K6" s="11" t="str">
        <x:v>华秋料号</x:v>
      </x:c>
      <x:c r="L6" s="11" t="str">
        <x:v>子图路径</x:v>
      </x:c>
      <x:c r="M6" s="11" t="str">
        <x:v>原始文件</x:v>
      </x:c>
      <x:c r="N6" s="11" t="str">
        <x:v>规格参数</x:v>
      </x:c>
      <x:c r="O6" s="11" t="str">
        <x:v>器件描述</x:v>
      </x:c>
      <x:c r="P6" s="11" t="str">
        <x:v>备注</x:v>
      </x:c>
    </x:row>
    <x:row r="7" ht="48" customHeight="1">
      <x:c r="A7" s="9" t="str">
        <x:v>B01</x:v>
      </x:c>
      <x:c r="B7" s="9" t="str">
        <x:v>VBAT_BAT</x:v>
      </x:c>
      <x:c r="C7" s="12" t="n">
        <x:v>0</x:v>
      </x:c>
      <x:c r="D7" s="15" t="str">
        <x:v>DNP不装配；原理图排除PCB；排除BOM；PCB中无封装</x:v>
      </x:c>
      <x:c r="E7" s="9" t="str"/>
      <x:c r="F7" s="9" t="str"/>
      <x:c r="G7" s="9" t="str"/>
      <x:c r="H7" s="9" t="str">
        <x:v>Battery:BatteryHolder_Keystone_500</x:v>
      </x:c>
      <x:c r="I7" s="9" t="str">
        <x:v>Battery:BatteryHolder_Keystone_500</x:v>
      </x:c>
      <x:c r="J7" s="9" t="str"/>
      <x:c r="K7" s="9" t="str"/>
      <x:c r="L7" s="9" t="str">
        <x:v>/MCU_Core/</x:v>
      </x:c>
      <x:c r="M7" s="9" t="str">
        <x:v>GD32F303VET6.kicad_sch</x:v>
      </x:c>
      <x:c r="N7" s="9" t="str"/>
      <x:c r="O7" s="9" t="str"/>
      <x:c r="P7" s="9" t="str"/>
    </x:row>
    <x:row r="8" ht="48" customHeight="1">
      <x:c r="A8" s="13" t="str">
        <x:v>C1</x:v>
      </x:c>
      <x:c r="B8" s="13" t="str">
        <x:v>RVT1E471M0810</x:v>
      </x:c>
      <x:c r="C8" s="14" t="n">
        <x:v>1</x:v>
      </x:c>
      <x:c r="D8" s="13" t="str">
        <x:v>装配/计入采购</x:v>
      </x:c>
      <x:c r="E8" s="13" t="str">
        <x:v>RVT1E471M0810</x:v>
      </x:c>
      <x:c r="F8" s="13" t="str">
        <x:v>HONOR</x:v>
      </x:c>
      <x:c r="G8" s="13" t="str">
        <x:v>Top</x:v>
      </x:c>
      <x:c r="H8" s="13" t="str">
        <x:v>kicad_api_lib:RVT1E471M0810</x:v>
      </x:c>
      <x:c r="I8" s="13" t="str">
        <x:v>kicad_api_lib:RVT1E471M0810</x:v>
      </x:c>
      <x:c r="J8" s="13" t="str"/>
      <x:c r="K8" s="13" t="str">
        <x:v>G4630692</x:v>
      </x:c>
      <x:c r="L8" s="13" t="str">
        <x:v>/POWER/</x:v>
      </x:c>
      <x:c r="M8" s="13" t="str">
        <x:v>POWER.kicad_sch</x:v>
      </x:c>
      <x:c r="N8" s="13" t="str"/>
      <x:c r="O8" s="13" t="str">
        <x:v>SMD Aluminum Electrolytic Capacitor AEC_D8X10.2MM_SM 470µF ±20% 25V Ф8.00 x 10.20mm 2000Hrs@105℃ 280mA</x:v>
      </x:c>
      <x:c r="P8" s="13" t="str">
        <x:v>嘉立创料号待匹配</x:v>
      </x:c>
    </x:row>
    <x:row r="9" ht="48" customHeight="1">
      <x:c r="A9" s="9" t="str">
        <x:v>C2</x:v>
      </x:c>
      <x:c r="B9" s="9" t="str">
        <x:v>22uF</x:v>
      </x:c>
      <x:c r="C9" s="12" t="n">
        <x:v>0</x:v>
      </x:c>
      <x:c r="D9" s="15" t="str">
        <x:v>DNP不装配；原理图排除PCB；排除BOM；PCB中无封装</x:v>
      </x:c>
      <x:c r="E9" s="9" t="str">
        <x:v>CL10A226MP8NUNC</x:v>
      </x:c>
      <x:c r="F9" s="9" t="str">
        <x:v>Samsung Electro-Mechanics</x:v>
      </x:c>
      <x:c r="G9" s="9" t="str"/>
      <x:c r="H9" s="9" t="str">
        <x:v>Capacitor_SMD:C_0603_1608Metric</x:v>
      </x:c>
      <x:c r="I9" s="9" t="str">
        <x:v>Capacitor_SMD:C_0603_1608Metric</x:v>
      </x:c>
      <x:c r="J9" s="9" t="str"/>
      <x:c r="K9" s="9" t="str"/>
      <x:c r="L9" s="9" t="str">
        <x:v>/POWER/</x:v>
      </x:c>
      <x:c r="M9" s="9" t="str">
        <x:v>POWER.kicad_sch</x:v>
      </x:c>
      <x:c r="N9" s="9" t="str">
        <x:v>Capacitance=22uF；Tolerance=20%；Voltage_Rating=10V；Dielectric=X5R</x:v>
      </x:c>
      <x:c r="O9" s="9" t="str">
        <x:v>MLCC 0603 (EIA), 22uF, 10V, 20%, X5R</x:v>
      </x:c>
      <x:c r="P9" s="9" t="str"/>
    </x:row>
    <x:row r="10" ht="48" customHeight="1">
      <x:c r="A10" s="13" t="str">
        <x:v>C3</x:v>
      </x:c>
      <x:c r="B10" s="13" t="str">
        <x:v>C</x:v>
      </x:c>
      <x:c r="C10" s="14" t="n">
        <x:v>0</x:v>
      </x:c>
      <x:c r="D10" s="16" t="str">
        <x:v>DNP不装配；原理图排除PCB；排除BOM；PCB中无封装</x:v>
      </x:c>
      <x:c r="E10" s="13" t="str"/>
      <x:c r="F10" s="13" t="str"/>
      <x:c r="G10" s="13" t="str"/>
      <x:c r="H10" s="13" t="str">
        <x:v>Capacitor_SMD:C_0603_1608Metric</x:v>
      </x:c>
      <x:c r="I10" s="13" t="str">
        <x:v>Capacitor_SMD:C_0603_1608Metric</x:v>
      </x:c>
      <x:c r="J10" s="13" t="str"/>
      <x:c r="K10" s="13" t="str"/>
      <x:c r="L10" s="13" t="str">
        <x:v>/POWER/</x:v>
      </x:c>
      <x:c r="M10" s="13" t="str">
        <x:v>POWER.kicad_sch</x:v>
      </x:c>
      <x:c r="N10" s="13" t="str"/>
      <x:c r="O10" s="13" t="str">
        <x:v>Unpolarized capacitor</x:v>
      </x:c>
      <x:c r="P10" s="13" t="str"/>
    </x:row>
    <x:row r="11" ht="48" customHeight="1">
      <x:c r="A11" s="9" t="str">
        <x:v>C4</x:v>
      </x:c>
      <x:c r="B11" s="9" t="str">
        <x:v>22pF</x:v>
      </x:c>
      <x:c r="C11" s="12" t="n">
        <x:v>0</x:v>
      </x:c>
      <x:c r="D11" s="15" t="str">
        <x:v>DNP不装配；原理图排除PCB；排除BOM；PCB中无封装</x:v>
      </x:c>
      <x:c r="E11" s="9" t="str">
        <x:v>CL10C220JB8NNNC</x:v>
      </x:c>
      <x:c r="F11" s="9" t="str">
        <x:v>Samsung Electro-Mechanics</x:v>
      </x:c>
      <x:c r="G11" s="9" t="str"/>
      <x:c r="H11" s="9" t="str">
        <x:v>Capacitor_SMD:C_0603_1608Metric</x:v>
      </x:c>
      <x:c r="I11" s="9" t="str">
        <x:v>Capacitor_SMD:C_0603_1608Metric</x:v>
      </x:c>
      <x:c r="J11" s="9" t="str"/>
      <x:c r="K11" s="9" t="str"/>
      <x:c r="L11" s="9" t="str">
        <x:v>/POWER/</x:v>
      </x:c>
      <x:c r="M11" s="9" t="str">
        <x:v>POWER.kicad_sch</x:v>
      </x:c>
      <x:c r="N11" s="9" t="str">
        <x:v>Capacitance=22pF；Tolerance=5%；Voltage_Rating=50V；Dielectric=C0G</x:v>
      </x:c>
      <x:c r="O11" s="9" t="str">
        <x:v>MLCC 0603 (EIA), 22pF, 50V, 5%, C0G</x:v>
      </x:c>
      <x:c r="P11" s="9" t="str"/>
    </x:row>
    <x:row r="12" ht="48" customHeight="1">
      <x:c r="A12" s="13" t="str">
        <x:v>C5</x:v>
      </x:c>
      <x:c r="B12" s="13" t="str">
        <x:v>RVT1E221M0607</x:v>
      </x:c>
      <x:c r="C12" s="14" t="n">
        <x:v>1</x:v>
      </x:c>
      <x:c r="D12" s="13" t="str">
        <x:v>装配/计入采购</x:v>
      </x:c>
      <x:c r="E12" s="13" t="str">
        <x:v>RVT1E221M0607</x:v>
      </x:c>
      <x:c r="F12" s="13" t="str">
        <x:v>HONOR</x:v>
      </x:c>
      <x:c r="G12" s="13" t="str">
        <x:v>Top</x:v>
      </x:c>
      <x:c r="H12" s="13" t="str">
        <x:v>kicad_api_lib:RVT1E221M0607</x:v>
      </x:c>
      <x:c r="I12" s="13" t="str">
        <x:v>kicad_api_lib:RVT1E221M0607</x:v>
      </x:c>
      <x:c r="J12" s="13" t="str"/>
      <x:c r="K12" s="13" t="str">
        <x:v>G4632569</x:v>
      </x:c>
      <x:c r="L12" s="13" t="str">
        <x:v>/POWER/</x:v>
      </x:c>
      <x:c r="M12" s="13" t="str">
        <x:v>POWER.kicad_sch</x:v>
      </x:c>
      <x:c r="N12" s="13" t="str"/>
      <x:c r="O12" s="13" t="str">
        <x:v>SMD Aluminum Electrolytic Capacitor AEC_D6.3X7.7MM_SM 220µF ±20% 25V Ф6.30 x 7.70mm 2000Hrs@105℃ 175mA</x:v>
      </x:c>
      <x:c r="P12" s="13" t="str">
        <x:v>嘉立创料号待匹配</x:v>
      </x:c>
    </x:row>
    <x:row r="13" ht="48" customHeight="1">
      <x:c r="A13" s="9" t="str">
        <x:v>C6</x:v>
      </x:c>
      <x:c r="B13" s="9" t="str">
        <x:v>C</x:v>
      </x:c>
      <x:c r="C13" s="12" t="n">
        <x:v>0</x:v>
      </x:c>
      <x:c r="D13" s="15" t="str">
        <x:v>DNP不装配；原理图排除PCB；排除BOM；PCB中无封装</x:v>
      </x:c>
      <x:c r="E13" s="9" t="str"/>
      <x:c r="F13" s="9" t="str"/>
      <x:c r="G13" s="9" t="str"/>
      <x:c r="H13" s="9" t="str">
        <x:v>Capacitor_SMD:C_0603_1608Metric</x:v>
      </x:c>
      <x:c r="I13" s="9" t="str">
        <x:v>Capacitor_SMD:C_0603_1608Metric</x:v>
      </x:c>
      <x:c r="J13" s="9" t="str"/>
      <x:c r="K13" s="9" t="str"/>
      <x:c r="L13" s="9" t="str">
        <x:v>/POWER/</x:v>
      </x:c>
      <x:c r="M13" s="9" t="str">
        <x:v>POWER.kicad_sch</x:v>
      </x:c>
      <x:c r="N13" s="9" t="str"/>
      <x:c r="O13" s="9" t="str">
        <x:v>Unpolarized capacitor</x:v>
      </x:c>
      <x:c r="P13" s="9" t="str"/>
    </x:row>
    <x:row r="14" ht="48" customHeight="1">
      <x:c r="A14" s="13" t="str">
        <x:v>C7</x:v>
      </x:c>
      <x:c r="B14" s="13" t="str">
        <x:v>22uF</x:v>
      </x:c>
      <x:c r="C14" s="14" t="n">
        <x:v>0</x:v>
      </x:c>
      <x:c r="D14" s="16" t="str">
        <x:v>DNP不装配；原理图排除PCB；排除BOM；PCB中无封装</x:v>
      </x:c>
      <x:c r="E14" s="13" t="str">
        <x:v>CL10A226MP8NUNC</x:v>
      </x:c>
      <x:c r="F14" s="13" t="str">
        <x:v>Samsung Electro-Mechanics</x:v>
      </x:c>
      <x:c r="G14" s="13" t="str"/>
      <x:c r="H14" s="13" t="str">
        <x:v>Capacitor_SMD:C_0603_1608Metric</x:v>
      </x:c>
      <x:c r="I14" s="13" t="str">
        <x:v>Capacitor_SMD:C_0603_1608Metric</x:v>
      </x:c>
      <x:c r="J14" s="13" t="str"/>
      <x:c r="K14" s="13" t="str"/>
      <x:c r="L14" s="13" t="str">
        <x:v>/POWER/</x:v>
      </x:c>
      <x:c r="M14" s="13" t="str">
        <x:v>POWER.kicad_sch</x:v>
      </x:c>
      <x:c r="N14" s="13" t="str">
        <x:v>Capacitance=22uF；Tolerance=20%；Voltage_Rating=10V；Dielectric=X5R</x:v>
      </x:c>
      <x:c r="O14" s="13" t="str">
        <x:v>MLCC 0603 (EIA), 22uF, 10V, 20%, X5R</x:v>
      </x:c>
      <x:c r="P14" s="13" t="str"/>
    </x:row>
    <x:row r="15" ht="48" customHeight="1">
      <x:c r="A15" s="9" t="str">
        <x:v>C8</x:v>
      </x:c>
      <x:c r="B15" s="9" t="str">
        <x:v>100nF</x:v>
      </x:c>
      <x:c r="C15" s="12" t="n">
        <x:v>0</x:v>
      </x:c>
      <x:c r="D15" s="15" t="str">
        <x:v>DNP不装配；原理图排除PCB；排除BOM；PCB中无封装</x:v>
      </x:c>
      <x:c r="E15" s="9" t="str"/>
      <x:c r="F15" s="9" t="str"/>
      <x:c r="G15" s="9" t="str"/>
      <x:c r="H15" s="9" t="str">
        <x:v>Capacitor_SMD:C_0603_1608Metric</x:v>
      </x:c>
      <x:c r="I15" s="9" t="str">
        <x:v>Capacitor_SMD:C_0603_1608Metric</x:v>
      </x:c>
      <x:c r="J15" s="9" t="str"/>
      <x:c r="K15" s="9" t="str"/>
      <x:c r="L15" s="9" t="str">
        <x:v>/POWER/</x:v>
      </x:c>
      <x:c r="M15" s="9" t="str">
        <x:v>POWER.kicad_sch</x:v>
      </x:c>
      <x:c r="N15" s="9" t="str"/>
      <x:c r="O15" s="9" t="str">
        <x:v>100nF, 50V, X7R, 0603; input high-frequency bypass</x:v>
      </x:c>
      <x:c r="P15" s="9" t="str"/>
    </x:row>
    <x:row r="16" ht="48" customHeight="1">
      <x:c r="A16" s="13" t="str">
        <x:v>C9</x:v>
      </x:c>
      <x:c r="B16" s="13" t="str">
        <x:v>1uF/10V</x:v>
      </x:c>
      <x:c r="C16" s="14" t="n">
        <x:v>1</x:v>
      </x:c>
      <x:c r="D16" s="13" t="str">
        <x:v>装配/计入采购</x:v>
      </x:c>
      <x:c r="E16" s="13" t="str"/>
      <x:c r="F16" s="13" t="str"/>
      <x:c r="G16" s="13" t="str">
        <x:v>Top</x:v>
      </x:c>
      <x:c r="H16" s="13" t="str">
        <x:v>Capacitor_SMD:C_0603_1608Metric</x:v>
      </x:c>
      <x:c r="I16" s="13" t="str">
        <x:v>Capacitor_SMD:C_0603_1608Metric</x:v>
      </x:c>
      <x:c r="J16" s="13" t="str"/>
      <x:c r="K16" s="13" t="str"/>
      <x:c r="L16" s="13" t="str">
        <x:v>/POWER/</x:v>
      </x:c>
      <x:c r="M16" s="13" t="str">
        <x:v>POWER.kicad_sch</x:v>
      </x:c>
      <x:c r="N16" s="13" t="str"/>
      <x:c r="O16" s="13" t="str">
        <x:v>Unpolarized capacitor</x:v>
      </x:c>
      <x:c r="P16" s="13" t="str">
        <x:v>MPN待补齐；型号/数值按原设计保留；品牌待补齐；嘉立创料号待匹配；华秋料号待匹配</x:v>
      </x:c>
    </x:row>
    <x:row r="17" ht="48" customHeight="1">
      <x:c r="A17" s="9" t="str">
        <x:v>C10</x:v>
      </x:c>
      <x:c r="B17" s="9" t="str">
        <x:v>1nF</x:v>
      </x:c>
      <x:c r="C17" s="12" t="n">
        <x:v>1</x:v>
      </x:c>
      <x:c r="D17" s="9" t="str">
        <x:v>装配/计入采购</x:v>
      </x:c>
      <x:c r="E17" s="9" t="str"/>
      <x:c r="F17" s="9" t="str"/>
      <x:c r="G17" s="9" t="str">
        <x:v>Top</x:v>
      </x:c>
      <x:c r="H17" s="9" t="str">
        <x:v>Capacitor_SMD:C_0603_1608Metric</x:v>
      </x:c>
      <x:c r="I17" s="9" t="str">
        <x:v>Capacitor_SMD:C_0603_1608Metric</x:v>
      </x:c>
      <x:c r="J17" s="9" t="str"/>
      <x:c r="K17" s="9" t="str"/>
      <x:c r="L17" s="9" t="str">
        <x:v>/POWER/</x:v>
      </x:c>
      <x:c r="M17" s="9" t="str">
        <x:v>POWER.kicad_sch</x:v>
      </x:c>
      <x:c r="N17" s="9" t="str"/>
      <x:c r="O17" s="9" t="str">
        <x:v>Unpolarized capacitor, small symbol</x:v>
      </x:c>
      <x:c r="P17" s="9" t="str">
        <x:v>MPN待补齐；型号/数值按原设计保留；品牌待补齐；嘉立创料号待匹配；华秋料号待匹配</x:v>
      </x:c>
    </x:row>
    <x:row r="18" ht="48" customHeight="1">
      <x:c r="A18" s="13" t="str">
        <x:v>C11</x:v>
      </x:c>
      <x:c r="B18" s="13" t="str">
        <x:v>1nF</x:v>
      </x:c>
      <x:c r="C18" s="14" t="n">
        <x:v>1</x:v>
      </x:c>
      <x:c r="D18" s="13" t="str">
        <x:v>装配/计入采购</x:v>
      </x:c>
      <x:c r="E18" s="13" t="str"/>
      <x:c r="F18" s="13" t="str"/>
      <x:c r="G18" s="13" t="str">
        <x:v>Top</x:v>
      </x:c>
      <x:c r="H18" s="13" t="str">
        <x:v>Capacitor_SMD:C_0603_1608Metric</x:v>
      </x:c>
      <x:c r="I18" s="13" t="str">
        <x:v>Capacitor_SMD:C_0603_1608Metric</x:v>
      </x:c>
      <x:c r="J18" s="13" t="str"/>
      <x:c r="K18" s="13" t="str"/>
      <x:c r="L18" s="13" t="str">
        <x:v>/POWER/</x:v>
      </x:c>
      <x:c r="M18" s="13" t="str">
        <x:v>POWER.kicad_sch</x:v>
      </x:c>
      <x:c r="N18" s="13" t="str"/>
      <x:c r="O18" s="13" t="str">
        <x:v>Unpolarized capacitor, small symbol</x:v>
      </x:c>
      <x:c r="P18" s="13" t="str">
        <x:v>MPN待补齐；型号/数值按原设计保留；品牌待补齐；嘉立创料号待匹配；华秋料号待匹配</x:v>
      </x:c>
    </x:row>
    <x:row r="19" ht="48" customHeight="1">
      <x:c r="A19" s="9" t="str">
        <x:v>C12</x:v>
      </x:c>
      <x:c r="B19" s="9" t="str">
        <x:v>1nF</x:v>
      </x:c>
      <x:c r="C19" s="12" t="n">
        <x:v>1</x:v>
      </x:c>
      <x:c r="D19" s="9" t="str">
        <x:v>装配/计入采购</x:v>
      </x:c>
      <x:c r="E19" s="9" t="str"/>
      <x:c r="F19" s="9" t="str"/>
      <x:c r="G19" s="9" t="str">
        <x:v>Top</x:v>
      </x:c>
      <x:c r="H19" s="9" t="str">
        <x:v>Capacitor_SMD:C_0603_1608Metric</x:v>
      </x:c>
      <x:c r="I19" s="9" t="str">
        <x:v>Capacitor_SMD:C_0603_1608Metric</x:v>
      </x:c>
      <x:c r="J19" s="9" t="str"/>
      <x:c r="K19" s="9" t="str"/>
      <x:c r="L19" s="9" t="str">
        <x:v>/POWER/</x:v>
      </x:c>
      <x:c r="M19" s="9" t="str">
        <x:v>POWER.kicad_sch</x:v>
      </x:c>
      <x:c r="N19" s="9" t="str"/>
      <x:c r="O19" s="9" t="str">
        <x:v>Unpolarized capacitor, small symbol</x:v>
      </x:c>
      <x:c r="P19" s="9" t="str">
        <x:v>MPN待补齐；型号/数值按原设计保留；品牌待补齐；嘉立创料号待匹配；华秋料号待匹配</x:v>
      </x:c>
    </x:row>
    <x:row r="20" ht="48" customHeight="1">
      <x:c r="A20" s="13" t="str">
        <x:v>C13</x:v>
      </x:c>
      <x:c r="B20" s="13" t="str">
        <x:v>1uF/10V</x:v>
      </x:c>
      <x:c r="C20" s="14" t="n">
        <x:v>1</x:v>
      </x:c>
      <x:c r="D20" s="13" t="str">
        <x:v>装配/计入采购</x:v>
      </x:c>
      <x:c r="E20" s="13" t="str"/>
      <x:c r="F20" s="13" t="str"/>
      <x:c r="G20" s="13" t="str">
        <x:v>Top</x:v>
      </x:c>
      <x:c r="H20" s="13" t="str">
        <x:v>Capacitor_SMD:C_0603_1608Metric</x:v>
      </x:c>
      <x:c r="I20" s="13" t="str">
        <x:v>Capacitor_SMD:C_0603_1608Metric</x:v>
      </x:c>
      <x:c r="J20" s="13" t="str"/>
      <x:c r="K20" s="13" t="str"/>
      <x:c r="L20" s="13" t="str">
        <x:v>/POWER/</x:v>
      </x:c>
      <x:c r="M20" s="13" t="str">
        <x:v>POWER.kicad_sch</x:v>
      </x:c>
      <x:c r="N20" s="13" t="str"/>
      <x:c r="O20" s="13" t="str">
        <x:v>Unpolarized capacitor</x:v>
      </x:c>
      <x:c r="P20" s="13" t="str">
        <x:v>MPN待补齐；型号/数值按原设计保留；品牌待补齐；嘉立创料号待匹配；华秋料号待匹配</x:v>
      </x:c>
    </x:row>
    <x:row r="21" ht="48" customHeight="1">
      <x:c r="A21" s="9" t="str">
        <x:v>C14</x:v>
      </x:c>
      <x:c r="B21" s="9" t="str">
        <x:v>22uF</x:v>
      </x:c>
      <x:c r="C21" s="12" t="n">
        <x:v>1</x:v>
      </x:c>
      <x:c r="D21" s="9" t="str">
        <x:v>装配/计入采购</x:v>
      </x:c>
      <x:c r="E21" s="9" t="str">
        <x:v>CL10A226MP8NUNC</x:v>
      </x:c>
      <x:c r="F21" s="9" t="str">
        <x:v>Samsung Electro-Mechanics</x:v>
      </x:c>
      <x:c r="G21" s="9" t="str">
        <x:v>Top</x:v>
      </x:c>
      <x:c r="H21" s="9" t="str">
        <x:v>Capacitor_SMD:C_0603_1608Metric</x:v>
      </x:c>
      <x:c r="I21" s="9" t="str">
        <x:v>Capacitor_SMD:C_0603_1608Metric</x:v>
      </x:c>
      <x:c r="J21" s="9" t="str"/>
      <x:c r="K21" s="9" t="str"/>
      <x:c r="L21" s="9" t="str">
        <x:v>/POWER/</x:v>
      </x:c>
      <x:c r="M21" s="9" t="str">
        <x:v>POWER.kicad_sch</x:v>
      </x:c>
      <x:c r="N21" s="9" t="str">
        <x:v>Capacitance=22uF；Tolerance=20%；Voltage_Rating=10V；Dielectric=X5R</x:v>
      </x:c>
      <x:c r="O21" s="9" t="str">
        <x:v>MLCC 0603 (EIA), 22uF, 10V, 20%, X5R</x:v>
      </x:c>
      <x:c r="P21" s="9" t="str">
        <x:v>嘉立创料号待匹配；华秋料号待匹配</x:v>
      </x:c>
    </x:row>
    <x:row r="22" ht="48" customHeight="1">
      <x:c r="A22" s="13" t="str">
        <x:v>C15</x:v>
      </x:c>
      <x:c r="B22" s="13" t="str">
        <x:v>100nF</x:v>
      </x:c>
      <x:c r="C22" s="14" t="n">
        <x:v>1</x:v>
      </x:c>
      <x:c r="D22" s="13" t="str">
        <x:v>装配/计入采购</x:v>
      </x:c>
      <x:c r="E22" s="13" t="str">
        <x:v>CL10B104KB8NNNC</x:v>
      </x:c>
      <x:c r="F22" s="13" t="str">
        <x:v>Samsung Electro-Mechanics</x:v>
      </x:c>
      <x:c r="G22" s="13" t="str">
        <x:v>Top</x:v>
      </x:c>
      <x:c r="H22" s="13" t="str">
        <x:v>Capacitor_SMD:C_0603_1608Metric</x:v>
      </x:c>
      <x:c r="I22" s="13" t="str">
        <x:v>Capacitor_SMD:C_0603_1608Metric</x:v>
      </x:c>
      <x:c r="J22" s="13" t="str"/>
      <x:c r="K22" s="13" t="str"/>
      <x:c r="L22" s="13" t="str">
        <x:v>/POWER/</x:v>
      </x:c>
      <x:c r="M22" s="13" t="str">
        <x:v>POWER.kicad_sch</x:v>
      </x:c>
      <x:c r="N22" s="13" t="str">
        <x:v>Capacitance=100nF；Tolerance=10%；Voltage_Rating=50V；Dielectric=X7R</x:v>
      </x:c>
      <x:c r="O22" s="13" t="str">
        <x:v>MLCC 0603 (EIA), 100nF, 50V, 10%, X7R</x:v>
      </x:c>
      <x:c r="P22" s="13" t="str">
        <x:v>嘉立创料号待匹配；华秋料号待匹配</x:v>
      </x:c>
    </x:row>
    <x:row r="23" ht="48" customHeight="1">
      <x:c r="A23" s="9" t="str">
        <x:v>C16</x:v>
      </x:c>
      <x:c r="B23" s="9" t="str">
        <x:v>22pF</x:v>
      </x:c>
      <x:c r="C23" s="12" t="n">
        <x:v>1</x:v>
      </x:c>
      <x:c r="D23" s="9" t="str">
        <x:v>装配/计入采购</x:v>
      </x:c>
      <x:c r="E23" s="9" t="str">
        <x:v>CL10C220JB8NNNC</x:v>
      </x:c>
      <x:c r="F23" s="9" t="str">
        <x:v>Samsung Electro-Mechanics</x:v>
      </x:c>
      <x:c r="G23" s="9" t="str">
        <x:v>Top</x:v>
      </x:c>
      <x:c r="H23" s="9" t="str">
        <x:v>Capacitor_SMD:C_0603_1608Metric</x:v>
      </x:c>
      <x:c r="I23" s="9" t="str">
        <x:v>Capacitor_SMD:C_0603_1608Metric</x:v>
      </x:c>
      <x:c r="J23" s="9" t="str"/>
      <x:c r="K23" s="9" t="str"/>
      <x:c r="L23" s="9" t="str">
        <x:v>/POWER/</x:v>
      </x:c>
      <x:c r="M23" s="9" t="str">
        <x:v>POWER.kicad_sch</x:v>
      </x:c>
      <x:c r="N23" s="9" t="str">
        <x:v>Capacitance=22pF；Tolerance=5%；Voltage_Rating=50V；Dielectric=C0G</x:v>
      </x:c>
      <x:c r="O23" s="9" t="str">
        <x:v>MLCC 0603 (EIA), 22pF, 50V, 5%, C0G</x:v>
      </x:c>
      <x:c r="P23" s="9" t="str">
        <x:v>嘉立创料号待匹配；华秋料号待匹配</x:v>
      </x:c>
    </x:row>
    <x:row r="24" ht="48" customHeight="1">
      <x:c r="A24" s="13" t="str">
        <x:v>C17</x:v>
      </x:c>
      <x:c r="B24" s="13" t="str">
        <x:v>22uF</x:v>
      </x:c>
      <x:c r="C24" s="14" t="n">
        <x:v>1</x:v>
      </x:c>
      <x:c r="D24" s="13" t="str">
        <x:v>装配/计入采购</x:v>
      </x:c>
      <x:c r="E24" s="13" t="str">
        <x:v>CL10A226MP8NUNC</x:v>
      </x:c>
      <x:c r="F24" s="13" t="str">
        <x:v>Samsung Electro-Mechanics</x:v>
      </x:c>
      <x:c r="G24" s="13" t="str">
        <x:v>Top</x:v>
      </x:c>
      <x:c r="H24" s="13" t="str">
        <x:v>Capacitor_SMD:C_0603_1608Metric</x:v>
      </x:c>
      <x:c r="I24" s="13" t="str">
        <x:v>Capacitor_SMD:C_0603_1608Metric</x:v>
      </x:c>
      <x:c r="J24" s="13" t="str"/>
      <x:c r="K24" s="13" t="str"/>
      <x:c r="L24" s="13" t="str">
        <x:v>/POWER/</x:v>
      </x:c>
      <x:c r="M24" s="13" t="str">
        <x:v>POWER.kicad_sch</x:v>
      </x:c>
      <x:c r="N24" s="13" t="str">
        <x:v>Capacitance=22uF；Tolerance=20%；Voltage_Rating=10V；Dielectric=X5R</x:v>
      </x:c>
      <x:c r="O24" s="13" t="str">
        <x:v>MLCC 0603 (EIA), 22uF, 10V, 20%, X5R</x:v>
      </x:c>
      <x:c r="P24" s="13" t="str">
        <x:v>嘉立创料号待匹配；华秋料号待匹配</x:v>
      </x:c>
    </x:row>
    <x:row r="25" ht="48" customHeight="1">
      <x:c r="A25" s="9" t="str">
        <x:v>C18</x:v>
      </x:c>
      <x:c r="B25" s="9" t="str">
        <x:v>100nF</x:v>
      </x:c>
      <x:c r="C25" s="12" t="n">
        <x:v>1</x:v>
      </x:c>
      <x:c r="D25" s="9" t="str">
        <x:v>装配/计入采购</x:v>
      </x:c>
      <x:c r="E25" s="9" t="str">
        <x:v>CL10B104KB8NNNC</x:v>
      </x:c>
      <x:c r="F25" s="9" t="str">
        <x:v>Samsung Electro-Mechanics</x:v>
      </x:c>
      <x:c r="G25" s="9" t="str">
        <x:v>Top</x:v>
      </x:c>
      <x:c r="H25" s="9" t="str">
        <x:v>Capacitor_SMD:C_0603_1608Metric</x:v>
      </x:c>
      <x:c r="I25" s="9" t="str">
        <x:v>Capacitor_SMD:C_0603_1608Metric</x:v>
      </x:c>
      <x:c r="J25" s="9" t="str"/>
      <x:c r="K25" s="9" t="str"/>
      <x:c r="L25" s="9" t="str">
        <x:v>/POWER/</x:v>
      </x:c>
      <x:c r="M25" s="9" t="str">
        <x:v>POWER.kicad_sch</x:v>
      </x:c>
      <x:c r="N25" s="9" t="str">
        <x:v>Capacitance=100nF；Tolerance=10%；Voltage_Rating=50V；Dielectric=X7R</x:v>
      </x:c>
      <x:c r="O25" s="9" t="str">
        <x:v>MLCC 0603 (EIA), 100nF, 50V, 10%, X7R</x:v>
      </x:c>
      <x:c r="P25" s="9" t="str">
        <x:v>嘉立创料号待匹配；华秋料号待匹配</x:v>
      </x:c>
    </x:row>
    <x:row r="26" ht="48" customHeight="1">
      <x:c r="A26" s="13" t="str">
        <x:v>C19</x:v>
      </x:c>
      <x:c r="B26" s="13" t="str">
        <x:v>CC0603KRX7R9BB104</x:v>
      </x:c>
      <x:c r="C26" s="14" t="n">
        <x:v>0</x:v>
      </x:c>
      <x:c r="D26" s="16" t="str">
        <x:v>DNP不装配；原理图排除PCB；排除BOM；PCB中无封装</x:v>
      </x:c>
      <x:c r="E26" s="13" t="str">
        <x:v>CC0603KRX7R9BB104</x:v>
      </x:c>
      <x:c r="F26" s="13" t="str">
        <x:v>Yageo</x:v>
      </x:c>
      <x:c r="G26" s="13" t="str"/>
      <x:c r="H26" s="13" t="str">
        <x:v>Capacitor_SMD:C_0603_1608Metric</x:v>
      </x:c>
      <x:c r="I26" s="13" t="str">
        <x:v>Capacitor_SMD:C_0603_1608Metric</x:v>
      </x:c>
      <x:c r="J26" s="13" t="str"/>
      <x:c r="K26" s="13" t="str">
        <x:v>G0045361</x:v>
      </x:c>
      <x:c r="L26" s="13" t="str">
        <x:v>/POWER/</x:v>
      </x:c>
      <x:c r="M26" s="13" t="str">
        <x:v>POWER.kicad_sch</x:v>
      </x:c>
      <x:c r="N26" s="13" t="str"/>
      <x:c r="O26" s="13" t="str">
        <x:v>Chip Capacitor, 100 nF, 50 V, 0603, 0.1</x:v>
      </x:c>
      <x:c r="P26" s="13" t="str"/>
    </x:row>
    <x:row r="27" ht="48" customHeight="1">
      <x:c r="A27" s="9" t="str">
        <x:v>C20</x:v>
      </x:c>
      <x:c r="B27" s="9" t="str">
        <x:v>15pF</x:v>
      </x:c>
      <x:c r="C27" s="12" t="n">
        <x:v>1</x:v>
      </x:c>
      <x:c r="D27" s="9" t="str">
        <x:v>装配/计入采购</x:v>
      </x:c>
      <x:c r="E27" s="9" t="str"/>
      <x:c r="F27" s="9" t="str"/>
      <x:c r="G27" s="9" t="str">
        <x:v>Top</x:v>
      </x:c>
      <x:c r="H27" s="9" t="str">
        <x:v>Capacitor_SMD:C_0603_1608Metric</x:v>
      </x:c>
      <x:c r="I27" s="9" t="str">
        <x:v>Capacitor_SMD:C_0603_1608Metric</x:v>
      </x:c>
      <x:c r="J27" s="9" t="str"/>
      <x:c r="K27" s="9" t="str"/>
      <x:c r="L27" s="9" t="str">
        <x:v>/MCU_Core/</x:v>
      </x:c>
      <x:c r="M27" s="9" t="str">
        <x:v>GD32F303VET6.kicad_sch</x:v>
      </x:c>
      <x:c r="N27" s="9" t="str"/>
      <x:c r="O27" s="9" t="str">
        <x:v>Unpolarized capacitor</x:v>
      </x:c>
      <x:c r="P27" s="9" t="str">
        <x:v>MPN待补齐；型号/数值按原设计保留；品牌待补齐；嘉立创料号待匹配；华秋料号待匹配</x:v>
      </x:c>
    </x:row>
    <x:row r="28" ht="48" customHeight="1">
      <x:c r="A28" s="13" t="str">
        <x:v>C21</x:v>
      </x:c>
      <x:c r="B28" s="13" t="str">
        <x:v>100nF</x:v>
      </x:c>
      <x:c r="C28" s="14" t="n">
        <x:v>1</x:v>
      </x:c>
      <x:c r="D28" s="13" t="str">
        <x:v>装配/计入采购</x:v>
      </x:c>
      <x:c r="E28" s="13" t="str"/>
      <x:c r="F28" s="13" t="str"/>
      <x:c r="G28" s="13" t="str">
        <x:v>Bottom</x:v>
      </x:c>
      <x:c r="H28" s="13" t="str">
        <x:v>Capacitor_SMD:C_0603_1608Metric</x:v>
      </x:c>
      <x:c r="I28" s="13" t="str">
        <x:v>Capacitor_SMD:C_0603_1608Metric</x:v>
      </x:c>
      <x:c r="J28" s="13" t="str"/>
      <x:c r="K28" s="13" t="str"/>
      <x:c r="L28" s="13" t="str">
        <x:v>/MCU_Core/</x:v>
      </x:c>
      <x:c r="M28" s="13" t="str">
        <x:v>GD32F303VET6.kicad_sch</x:v>
      </x:c>
      <x:c r="N28" s="13" t="str"/>
      <x:c r="O28" s="13" t="str">
        <x:v>Unpolarized capacitor</x:v>
      </x:c>
      <x:c r="P28" s="13" t="str">
        <x:v>MPN待补齐；型号/数值按原设计保留；品牌待补齐；嘉立创料号待匹配；华秋料号待匹配</x:v>
      </x:c>
    </x:row>
    <x:row r="29" ht="48" customHeight="1">
      <x:c r="A29" s="9" t="str">
        <x:v>C22</x:v>
      </x:c>
      <x:c r="B29" s="9" t="str">
        <x:v>100nF</x:v>
      </x:c>
      <x:c r="C29" s="12" t="n">
        <x:v>1</x:v>
      </x:c>
      <x:c r="D29" s="9" t="str">
        <x:v>装配/计入采购</x:v>
      </x:c>
      <x:c r="E29" s="9" t="str"/>
      <x:c r="F29" s="9" t="str"/>
      <x:c r="G29" s="9" t="str">
        <x:v>Bottom</x:v>
      </x:c>
      <x:c r="H29" s="9" t="str">
        <x:v>Capacitor_SMD:C_0603_1608Metric</x:v>
      </x:c>
      <x:c r="I29" s="9" t="str">
        <x:v>Capacitor_SMD:C_0603_1608Metric</x:v>
      </x:c>
      <x:c r="J29" s="9" t="str"/>
      <x:c r="K29" s="9" t="str"/>
      <x:c r="L29" s="9" t="str">
        <x:v>/MCU_Core/</x:v>
      </x:c>
      <x:c r="M29" s="9" t="str">
        <x:v>GD32F303VET6.kicad_sch</x:v>
      </x:c>
      <x:c r="N29" s="9" t="str"/>
      <x:c r="O29" s="9" t="str">
        <x:v>Unpolarized capacitor</x:v>
      </x:c>
      <x:c r="P29" s="9" t="str">
        <x:v>MPN待补齐；型号/数值按原设计保留；品牌待补齐；嘉立创料号待匹配；华秋料号待匹配</x:v>
      </x:c>
    </x:row>
    <x:row r="30" ht="48" customHeight="1">
      <x:c r="A30" s="13" t="str">
        <x:v>C23</x:v>
      </x:c>
      <x:c r="B30" s="13" t="str">
        <x:v>100nF</x:v>
      </x:c>
      <x:c r="C30" s="14" t="n">
        <x:v>1</x:v>
      </x:c>
      <x:c r="D30" s="13" t="str">
        <x:v>装配/计入采购</x:v>
      </x:c>
      <x:c r="E30" s="13" t="str"/>
      <x:c r="F30" s="13" t="str"/>
      <x:c r="G30" s="13" t="str">
        <x:v>Bottom</x:v>
      </x:c>
      <x:c r="H30" s="13" t="str">
        <x:v>Capacitor_SMD:C_0603_1608Metric</x:v>
      </x:c>
      <x:c r="I30" s="13" t="str">
        <x:v>Capacitor_SMD:C_0603_1608Metric</x:v>
      </x:c>
      <x:c r="J30" s="13" t="str"/>
      <x:c r="K30" s="13" t="str"/>
      <x:c r="L30" s="13" t="str">
        <x:v>/MCU_Core/</x:v>
      </x:c>
      <x:c r="M30" s="13" t="str">
        <x:v>GD32F303VET6.kicad_sch</x:v>
      </x:c>
      <x:c r="N30" s="13" t="str"/>
      <x:c r="O30" s="13" t="str">
        <x:v>Unpolarized capacitor</x:v>
      </x:c>
      <x:c r="P30" s="13" t="str">
        <x:v>MPN待补齐；型号/数值按原设计保留；品牌待补齐；嘉立创料号待匹配；华秋料号待匹配</x:v>
      </x:c>
    </x:row>
    <x:row r="31" ht="48" customHeight="1">
      <x:c r="A31" s="9" t="str">
        <x:v>C24</x:v>
      </x:c>
      <x:c r="B31" s="9" t="str">
        <x:v>100nF</x:v>
      </x:c>
      <x:c r="C31" s="12" t="n">
        <x:v>1</x:v>
      </x:c>
      <x:c r="D31" s="9" t="str">
        <x:v>装配/计入采购</x:v>
      </x:c>
      <x:c r="E31" s="9" t="str"/>
      <x:c r="F31" s="9" t="str"/>
      <x:c r="G31" s="9" t="str">
        <x:v>Bottom</x:v>
      </x:c>
      <x:c r="H31" s="9" t="str">
        <x:v>Capacitor_SMD:C_0603_1608Metric</x:v>
      </x:c>
      <x:c r="I31" s="9" t="str">
        <x:v>Capacitor_SMD:C_0603_1608Metric</x:v>
      </x:c>
      <x:c r="J31" s="9" t="str"/>
      <x:c r="K31" s="9" t="str"/>
      <x:c r="L31" s="9" t="str">
        <x:v>/MCU_Core/</x:v>
      </x:c>
      <x:c r="M31" s="9" t="str">
        <x:v>GD32F303VET6.kicad_sch</x:v>
      </x:c>
      <x:c r="N31" s="9" t="str"/>
      <x:c r="O31" s="9" t="str">
        <x:v>Unpolarized capacitor</x:v>
      </x:c>
      <x:c r="P31" s="9" t="str">
        <x:v>MPN待补齐；型号/数值按原设计保留；品牌待补齐；嘉立创料号待匹配；华秋料号待匹配</x:v>
      </x:c>
    </x:row>
    <x:row r="32" ht="48" customHeight="1">
      <x:c r="A32" s="13" t="str">
        <x:v>C25</x:v>
      </x:c>
      <x:c r="B32" s="13" t="str">
        <x:v>15pF</x:v>
      </x:c>
      <x:c r="C32" s="14" t="n">
        <x:v>1</x:v>
      </x:c>
      <x:c r="D32" s="13" t="str">
        <x:v>装配/计入采购</x:v>
      </x:c>
      <x:c r="E32" s="13" t="str"/>
      <x:c r="F32" s="13" t="str"/>
      <x:c r="G32" s="13" t="str">
        <x:v>Top</x:v>
      </x:c>
      <x:c r="H32" s="13" t="str">
        <x:v>Capacitor_SMD:C_0603_1608Metric</x:v>
      </x:c>
      <x:c r="I32" s="13" t="str">
        <x:v>Capacitor_SMD:C_0603_1608Metric</x:v>
      </x:c>
      <x:c r="J32" s="13" t="str"/>
      <x:c r="K32" s="13" t="str"/>
      <x:c r="L32" s="13" t="str">
        <x:v>/MCU_Core/</x:v>
      </x:c>
      <x:c r="M32" s="13" t="str">
        <x:v>GD32F303VET6.kicad_sch</x:v>
      </x:c>
      <x:c r="N32" s="13" t="str"/>
      <x:c r="O32" s="13" t="str">
        <x:v>Unpolarized capacitor</x:v>
      </x:c>
      <x:c r="P32" s="13" t="str">
        <x:v>MPN待补齐；型号/数值按原设计保留；品牌待补齐；嘉立创料号待匹配；华秋料号待匹配</x:v>
      </x:c>
    </x:row>
    <x:row r="33" ht="48" customHeight="1">
      <x:c r="A33" s="9" t="str">
        <x:v>C26</x:v>
      </x:c>
      <x:c r="B33" s="9" t="str">
        <x:v>100nF</x:v>
      </x:c>
      <x:c r="C33" s="12" t="n">
        <x:v>1</x:v>
      </x:c>
      <x:c r="D33" s="9" t="str">
        <x:v>装配/计入采购</x:v>
      </x:c>
      <x:c r="E33" s="9" t="str"/>
      <x:c r="F33" s="9" t="str"/>
      <x:c r="G33" s="9" t="str">
        <x:v>Bottom</x:v>
      </x:c>
      <x:c r="H33" s="9" t="str">
        <x:v>Capacitor_SMD:C_0603_1608Metric</x:v>
      </x:c>
      <x:c r="I33" s="9" t="str">
        <x:v>Capacitor_SMD:C_0603_1608Metric</x:v>
      </x:c>
      <x:c r="J33" s="9" t="str"/>
      <x:c r="K33" s="9" t="str"/>
      <x:c r="L33" s="9" t="str">
        <x:v>/MCU_Core/</x:v>
      </x:c>
      <x:c r="M33" s="9" t="str">
        <x:v>GD32F303VET6.kicad_sch</x:v>
      </x:c>
      <x:c r="N33" s="9" t="str"/>
      <x:c r="O33" s="9" t="str">
        <x:v>Unpolarized capacitor</x:v>
      </x:c>
      <x:c r="P33" s="9" t="str">
        <x:v>MPN待补齐；型号/数值按原设计保留；品牌待补齐；嘉立创料号待匹配；华秋料号待匹配</x:v>
      </x:c>
    </x:row>
    <x:row r="34" ht="48" customHeight="1">
      <x:c r="A34" s="13" t="str">
        <x:v>C27</x:v>
      </x:c>
      <x:c r="B34" s="13" t="str">
        <x:v>100nF</x:v>
      </x:c>
      <x:c r="C34" s="14" t="n">
        <x:v>1</x:v>
      </x:c>
      <x:c r="D34" s="13" t="str">
        <x:v>装配/计入采购</x:v>
      </x:c>
      <x:c r="E34" s="13" t="str"/>
      <x:c r="F34" s="13" t="str"/>
      <x:c r="G34" s="13" t="str">
        <x:v>Bottom</x:v>
      </x:c>
      <x:c r="H34" s="13" t="str">
        <x:v>Capacitor_SMD:C_0603_1608Metric</x:v>
      </x:c>
      <x:c r="I34" s="13" t="str">
        <x:v>Capacitor_SMD:C_0603_1608Metric</x:v>
      </x:c>
      <x:c r="J34" s="13" t="str"/>
      <x:c r="K34" s="13" t="str"/>
      <x:c r="L34" s="13" t="str">
        <x:v>/MCU_Core/</x:v>
      </x:c>
      <x:c r="M34" s="13" t="str">
        <x:v>GD32F303VET6.kicad_sch</x:v>
      </x:c>
      <x:c r="N34" s="13" t="str"/>
      <x:c r="O34" s="13" t="str">
        <x:v>Unpolarized capacitor</x:v>
      </x:c>
      <x:c r="P34" s="13" t="str">
        <x:v>MPN待补齐；型号/数值按原设计保留；品牌待补齐；嘉立创料号待匹配；华秋料号待匹配</x:v>
      </x:c>
    </x:row>
    <x:row r="35" ht="48" customHeight="1">
      <x:c r="A35" s="9" t="str">
        <x:v>C28</x:v>
      </x:c>
      <x:c r="B35" s="9" t="str">
        <x:v>100nF</x:v>
      </x:c>
      <x:c r="C35" s="12" t="n">
        <x:v>1</x:v>
      </x:c>
      <x:c r="D35" s="9" t="str">
        <x:v>装配/计入采购</x:v>
      </x:c>
      <x:c r="E35" s="9" t="str"/>
      <x:c r="F35" s="9" t="str"/>
      <x:c r="G35" s="9" t="str">
        <x:v>Bottom</x:v>
      </x:c>
      <x:c r="H35" s="9" t="str">
        <x:v>Capacitor_SMD:C_0603_1608Metric</x:v>
      </x:c>
      <x:c r="I35" s="9" t="str">
        <x:v>Capacitor_SMD:C_0603_1608Metric</x:v>
      </x:c>
      <x:c r="J35" s="9" t="str"/>
      <x:c r="K35" s="9" t="str"/>
      <x:c r="L35" s="9" t="str">
        <x:v>/MCU_Core/</x:v>
      </x:c>
      <x:c r="M35" s="9" t="str">
        <x:v>GD32F303VET6.kicad_sch</x:v>
      </x:c>
      <x:c r="N35" s="9" t="str"/>
      <x:c r="O35" s="9" t="str">
        <x:v>Unpolarized capacitor</x:v>
      </x:c>
      <x:c r="P35" s="9" t="str">
        <x:v>MPN待补齐；型号/数值按原设计保留；品牌待补齐；嘉立创料号待匹配；华秋料号待匹配</x:v>
      </x:c>
    </x:row>
    <x:row r="36" ht="48" customHeight="1">
      <x:c r="A36" s="13" t="str">
        <x:v>C29</x:v>
      </x:c>
      <x:c r="B36" s="13" t="str">
        <x:v>100nF</x:v>
      </x:c>
      <x:c r="C36" s="14" t="n">
        <x:v>1</x:v>
      </x:c>
      <x:c r="D36" s="13" t="str">
        <x:v>装配/计入采购</x:v>
      </x:c>
      <x:c r="E36" s="13" t="str"/>
      <x:c r="F36" s="13" t="str"/>
      <x:c r="G36" s="13" t="str">
        <x:v>Bottom</x:v>
      </x:c>
      <x:c r="H36" s="13" t="str">
        <x:v>Capacitor_SMD:C_0603_1608Metric</x:v>
      </x:c>
      <x:c r="I36" s="13" t="str">
        <x:v>Capacitor_SMD:C_0603_1608Metric</x:v>
      </x:c>
      <x:c r="J36" s="13" t="str"/>
      <x:c r="K36" s="13" t="str"/>
      <x:c r="L36" s="13" t="str">
        <x:v>/MCU_Core/</x:v>
      </x:c>
      <x:c r="M36" s="13" t="str">
        <x:v>GD32F303VET6.kicad_sch</x:v>
      </x:c>
      <x:c r="N36" s="13" t="str"/>
      <x:c r="O36" s="13" t="str">
        <x:v>Unpolarized capacitor</x:v>
      </x:c>
      <x:c r="P36" s="13" t="str">
        <x:v>MPN待补齐；型号/数值按原设计保留；品牌待补齐；嘉立创料号待匹配；华秋料号待匹配</x:v>
      </x:c>
    </x:row>
    <x:row r="37" ht="48" customHeight="1">
      <x:c r="A37" s="9" t="str">
        <x:v>C30</x:v>
      </x:c>
      <x:c r="B37" s="9" t="str">
        <x:v>100nF</x:v>
      </x:c>
      <x:c r="C37" s="12" t="n">
        <x:v>1</x:v>
      </x:c>
      <x:c r="D37" s="9" t="str">
        <x:v>装配/计入采购</x:v>
      </x:c>
      <x:c r="E37" s="9" t="str"/>
      <x:c r="F37" s="9" t="str"/>
      <x:c r="G37" s="9" t="str">
        <x:v>Bottom</x:v>
      </x:c>
      <x:c r="H37" s="9" t="str">
        <x:v>Capacitor_SMD:C_0603_1608Metric</x:v>
      </x:c>
      <x:c r="I37" s="9" t="str">
        <x:v>Capacitor_SMD:C_0603_1608Metric</x:v>
      </x:c>
      <x:c r="J37" s="9" t="str"/>
      <x:c r="K37" s="9" t="str"/>
      <x:c r="L37" s="9" t="str">
        <x:v>/MCU_Core/</x:v>
      </x:c>
      <x:c r="M37" s="9" t="str">
        <x:v>GD32F303VET6.kicad_sch</x:v>
      </x:c>
      <x:c r="N37" s="9" t="str"/>
      <x:c r="O37" s="9" t="str">
        <x:v>Unpolarized capacitor</x:v>
      </x:c>
      <x:c r="P37" s="9" t="str">
        <x:v>MPN待补齐；型号/数值按原设计保留；品牌待补齐；嘉立创料号待匹配；华秋料号待匹配</x:v>
      </x:c>
    </x:row>
    <x:row r="38" ht="48" customHeight="1">
      <x:c r="A38" s="13" t="str">
        <x:v>C31</x:v>
      </x:c>
      <x:c r="B38" s="13" t="str">
        <x:v>100nF</x:v>
      </x:c>
      <x:c r="C38" s="14" t="n">
        <x:v>1</x:v>
      </x:c>
      <x:c r="D38" s="13" t="str">
        <x:v>装配/计入采购</x:v>
      </x:c>
      <x:c r="E38" s="13" t="str"/>
      <x:c r="F38" s="13" t="str"/>
      <x:c r="G38" s="13" t="str">
        <x:v>Bottom</x:v>
      </x:c>
      <x:c r="H38" s="13" t="str">
        <x:v>Capacitor_SMD:C_0603_1608Metric</x:v>
      </x:c>
      <x:c r="I38" s="13" t="str">
        <x:v>Capacitor_SMD:C_0603_1608Metric</x:v>
      </x:c>
      <x:c r="J38" s="13" t="str"/>
      <x:c r="K38" s="13" t="str"/>
      <x:c r="L38" s="13" t="str">
        <x:v>/MCU_Core/</x:v>
      </x:c>
      <x:c r="M38" s="13" t="str">
        <x:v>GD32F303VET6.kicad_sch</x:v>
      </x:c>
      <x:c r="N38" s="13" t="str"/>
      <x:c r="O38" s="13" t="str">
        <x:v>Unpolarized capacitor</x:v>
      </x:c>
      <x:c r="P38" s="13" t="str">
        <x:v>MPN待补齐；型号/数值按原设计保留；品牌待补齐；嘉立创料号待匹配；华秋料号待匹配</x:v>
      </x:c>
    </x:row>
    <x:row r="39" ht="48" customHeight="1">
      <x:c r="A39" s="9" t="str">
        <x:v>C32</x:v>
      </x:c>
      <x:c r="B39" s="9" t="str">
        <x:v>100nF</x:v>
      </x:c>
      <x:c r="C39" s="12" t="n">
        <x:v>1</x:v>
      </x:c>
      <x:c r="D39" s="9" t="str">
        <x:v>装配/计入采购</x:v>
      </x:c>
      <x:c r="E39" s="9" t="str"/>
      <x:c r="F39" s="9" t="str"/>
      <x:c r="G39" s="9" t="str">
        <x:v>Bottom</x:v>
      </x:c>
      <x:c r="H39" s="9" t="str">
        <x:v>Capacitor_SMD:C_0603_1608Metric</x:v>
      </x:c>
      <x:c r="I39" s="9" t="str">
        <x:v>Capacitor_SMD:C_0603_1608Metric</x:v>
      </x:c>
      <x:c r="J39" s="9" t="str"/>
      <x:c r="K39" s="9" t="str"/>
      <x:c r="L39" s="9" t="str">
        <x:v>/MCU_Core/</x:v>
      </x:c>
      <x:c r="M39" s="9" t="str">
        <x:v>GD32F303VET6.kicad_sch</x:v>
      </x:c>
      <x:c r="N39" s="9" t="str"/>
      <x:c r="O39" s="9" t="str">
        <x:v>Unpolarized capacitor</x:v>
      </x:c>
      <x:c r="P39" s="9" t="str">
        <x:v>MPN待补齐；型号/数值按原设计保留；品牌待补齐；嘉立创料号待匹配；华秋料号待匹配</x:v>
      </x:c>
    </x:row>
    <x:row r="40" ht="48" customHeight="1">
      <x:c r="A40" s="13" t="str">
        <x:v>C33</x:v>
      </x:c>
      <x:c r="B40" s="13" t="str">
        <x:v>15pF</x:v>
      </x:c>
      <x:c r="C40" s="14" t="n">
        <x:v>1</x:v>
      </x:c>
      <x:c r="D40" s="13" t="str">
        <x:v>装配/计入采购</x:v>
      </x:c>
      <x:c r="E40" s="13" t="str"/>
      <x:c r="F40" s="13" t="str"/>
      <x:c r="G40" s="13" t="str">
        <x:v>Top</x:v>
      </x:c>
      <x:c r="H40" s="13" t="str">
        <x:v>Capacitor_SMD:C_0603_1608Metric</x:v>
      </x:c>
      <x:c r="I40" s="13" t="str">
        <x:v>Capacitor_SMD:C_0603_1608Metric</x:v>
      </x:c>
      <x:c r="J40" s="13" t="str"/>
      <x:c r="K40" s="13" t="str"/>
      <x:c r="L40" s="13" t="str">
        <x:v>/MCU_Core/</x:v>
      </x:c>
      <x:c r="M40" s="13" t="str">
        <x:v>GD32F303VET6.kicad_sch</x:v>
      </x:c>
      <x:c r="N40" s="13" t="str"/>
      <x:c r="O40" s="13" t="str">
        <x:v>Unpolarized capacitor</x:v>
      </x:c>
      <x:c r="P40" s="13" t="str">
        <x:v>MPN待补齐；型号/数值按原设计保留；品牌待补齐；嘉立创料号待匹配；华秋料号待匹配</x:v>
      </x:c>
    </x:row>
    <x:row r="41" ht="48" customHeight="1">
      <x:c r="A41" s="9" t="str">
        <x:v>C34</x:v>
      </x:c>
      <x:c r="B41" s="9" t="str">
        <x:v>100nF</x:v>
      </x:c>
      <x:c r="C41" s="12" t="n">
        <x:v>1</x:v>
      </x:c>
      <x:c r="D41" s="9" t="str">
        <x:v>装配/计入采购</x:v>
      </x:c>
      <x:c r="E41" s="9" t="str"/>
      <x:c r="F41" s="9" t="str"/>
      <x:c r="G41" s="9" t="str">
        <x:v>Bottom</x:v>
      </x:c>
      <x:c r="H41" s="9" t="str">
        <x:v>Capacitor_SMD:C_0603_1608Metric</x:v>
      </x:c>
      <x:c r="I41" s="9" t="str">
        <x:v>Capacitor_SMD:C_0603_1608Metric</x:v>
      </x:c>
      <x:c r="J41" s="9" t="str"/>
      <x:c r="K41" s="9" t="str"/>
      <x:c r="L41" s="9" t="str">
        <x:v>/MCU_Core/</x:v>
      </x:c>
      <x:c r="M41" s="9" t="str">
        <x:v>GD32F303VET6.kicad_sch</x:v>
      </x:c>
      <x:c r="N41" s="9" t="str"/>
      <x:c r="O41" s="9" t="str">
        <x:v>Unpolarized capacitor</x:v>
      </x:c>
      <x:c r="P41" s="9" t="str">
        <x:v>MPN待补齐；型号/数值按原设计保留；品牌待补齐；嘉立创料号待匹配；华秋料号待匹配</x:v>
      </x:c>
    </x:row>
    <x:row r="42" ht="48" customHeight="1">
      <x:c r="A42" s="13" t="str">
        <x:v>C35</x:v>
      </x:c>
      <x:c r="B42" s="13" t="str">
        <x:v>100nF</x:v>
      </x:c>
      <x:c r="C42" s="14" t="n">
        <x:v>1</x:v>
      </x:c>
      <x:c r="D42" s="13" t="str">
        <x:v>装配/计入采购</x:v>
      </x:c>
      <x:c r="E42" s="13" t="str"/>
      <x:c r="F42" s="13" t="str"/>
      <x:c r="G42" s="13" t="str">
        <x:v>Bottom</x:v>
      </x:c>
      <x:c r="H42" s="13" t="str">
        <x:v>Capacitor_SMD:C_0603_1608Metric</x:v>
      </x:c>
      <x:c r="I42" s="13" t="str">
        <x:v>Capacitor_SMD:C_0603_1608Metric</x:v>
      </x:c>
      <x:c r="J42" s="13" t="str"/>
      <x:c r="K42" s="13" t="str"/>
      <x:c r="L42" s="13" t="str">
        <x:v>/MCU_Core/</x:v>
      </x:c>
      <x:c r="M42" s="13" t="str">
        <x:v>GD32F303VET6.kicad_sch</x:v>
      </x:c>
      <x:c r="N42" s="13" t="str"/>
      <x:c r="O42" s="13" t="str">
        <x:v>Unpolarized capacitor</x:v>
      </x:c>
      <x:c r="P42" s="13" t="str">
        <x:v>MPN待补齐；型号/数值按原设计保留；品牌待补齐；嘉立创料号待匹配；华秋料号待匹配</x:v>
      </x:c>
    </x:row>
    <x:row r="43" ht="48" customHeight="1">
      <x:c r="A43" s="9" t="str">
        <x:v>C36</x:v>
      </x:c>
      <x:c r="B43" s="9" t="str">
        <x:v>15pF</x:v>
      </x:c>
      <x:c r="C43" s="12" t="n">
        <x:v>1</x:v>
      </x:c>
      <x:c r="D43" s="9" t="str">
        <x:v>装配/计入采购</x:v>
      </x:c>
      <x:c r="E43" s="9" t="str"/>
      <x:c r="F43" s="9" t="str"/>
      <x:c r="G43" s="9" t="str">
        <x:v>Top</x:v>
      </x:c>
      <x:c r="H43" s="9" t="str">
        <x:v>Capacitor_SMD:C_0603_1608Metric</x:v>
      </x:c>
      <x:c r="I43" s="9" t="str">
        <x:v>Capacitor_SMD:C_0603_1608Metric</x:v>
      </x:c>
      <x:c r="J43" s="9" t="str"/>
      <x:c r="K43" s="9" t="str"/>
      <x:c r="L43" s="9" t="str">
        <x:v>/MCU_Core/</x:v>
      </x:c>
      <x:c r="M43" s="9" t="str">
        <x:v>GD32F303VET6.kicad_sch</x:v>
      </x:c>
      <x:c r="N43" s="9" t="str"/>
      <x:c r="O43" s="9" t="str">
        <x:v>Unpolarized capacitor</x:v>
      </x:c>
      <x:c r="P43" s="9" t="str">
        <x:v>MPN待补齐；型号/数值按原设计保留；品牌待补齐；嘉立创料号待匹配；华秋料号待匹配</x:v>
      </x:c>
    </x:row>
    <x:row r="44" ht="48" customHeight="1">
      <x:c r="A44" s="13" t="str">
        <x:v>C37</x:v>
      </x:c>
      <x:c r="B44" s="13" t="str">
        <x:v>C</x:v>
      </x:c>
      <x:c r="C44" s="14" t="n">
        <x:v>0</x:v>
      </x:c>
      <x:c r="D44" s="16" t="str">
        <x:v>DNP不装配；原理图排除PCB；排除BOM；PCB中无封装</x:v>
      </x:c>
      <x:c r="E44" s="13" t="str"/>
      <x:c r="F44" s="13" t="str"/>
      <x:c r="G44" s="13" t="str"/>
      <x:c r="H44" s="13" t="str">
        <x:v>Capacitor_SMD:C_0603_1608Metric</x:v>
      </x:c>
      <x:c r="I44" s="13" t="str">
        <x:v>Capacitor_SMD:C_0603_1608Metric</x:v>
      </x:c>
      <x:c r="J44" s="13" t="str"/>
      <x:c r="K44" s="13" t="str"/>
      <x:c r="L44" s="13" t="str">
        <x:v>/MCU_Core/</x:v>
      </x:c>
      <x:c r="M44" s="13" t="str">
        <x:v>GD32F303VET6.kicad_sch</x:v>
      </x:c>
      <x:c r="N44" s="13" t="str"/>
      <x:c r="O44" s="13" t="str">
        <x:v>Unpolarized capacitor</x:v>
      </x:c>
      <x:c r="P44" s="13" t="str"/>
    </x:row>
    <x:row r="45" ht="48" customHeight="1">
      <x:c r="A45" s="9" t="str">
        <x:v>C38</x:v>
      </x:c>
      <x:c r="B45" s="9" t="str">
        <x:v>C</x:v>
      </x:c>
      <x:c r="C45" s="12" t="n">
        <x:v>0</x:v>
      </x:c>
      <x:c r="D45" s="15" t="str">
        <x:v>DNP不装配；原理图排除PCB；排除BOM；PCB中无封装</x:v>
      </x:c>
      <x:c r="E45" s="9" t="str"/>
      <x:c r="F45" s="9" t="str"/>
      <x:c r="G45" s="9" t="str"/>
      <x:c r="H45" s="9" t="str">
        <x:v>Capacitor_SMD:C_0603_1608Metric</x:v>
      </x:c>
      <x:c r="I45" s="9" t="str">
        <x:v>Capacitor_SMD:C_0603_1608Metric</x:v>
      </x:c>
      <x:c r="J45" s="9" t="str"/>
      <x:c r="K45" s="9" t="str"/>
      <x:c r="L45" s="9" t="str">
        <x:v>/MCU_Core/</x:v>
      </x:c>
      <x:c r="M45" s="9" t="str">
        <x:v>GD32F303VET6.kicad_sch</x:v>
      </x:c>
      <x:c r="N45" s="9" t="str"/>
      <x:c r="O45" s="9" t="str">
        <x:v>Unpolarized capacitor</x:v>
      </x:c>
      <x:c r="P45" s="9" t="str"/>
    </x:row>
    <x:row r="46" ht="48" customHeight="1">
      <x:c r="A46" s="13" t="str">
        <x:v>C39</x:v>
      </x:c>
      <x:c r="B46" s="13" t="str">
        <x:v>100nF</x:v>
      </x:c>
      <x:c r="C46" s="14" t="n">
        <x:v>1</x:v>
      </x:c>
      <x:c r="D46" s="13" t="str">
        <x:v>装配/计入采购</x:v>
      </x:c>
      <x:c r="E46" s="13" t="str"/>
      <x:c r="F46" s="13" t="str"/>
      <x:c r="G46" s="13" t="str">
        <x:v>Top</x:v>
      </x:c>
      <x:c r="H46" s="13" t="str">
        <x:v>Capacitor_SMD:C_0603_1608Metric</x:v>
      </x:c>
      <x:c r="I46" s="13" t="str">
        <x:v>Capacitor_SMD:C_0603_1608Metric</x:v>
      </x:c>
      <x:c r="J46" s="13" t="str"/>
      <x:c r="K46" s="13" t="str"/>
      <x:c r="L46" s="13" t="str">
        <x:v>/MCU_Core/</x:v>
      </x:c>
      <x:c r="M46" s="13" t="str">
        <x:v>GD32F303VET6.kicad_sch</x:v>
      </x:c>
      <x:c r="N46" s="13" t="str"/>
      <x:c r="O46" s="13" t="str">
        <x:v>Unpolarized capacitor, small symbol</x:v>
      </x:c>
      <x:c r="P46" s="13" t="str">
        <x:v>MPN待补齐；型号/数值按原设计保留；品牌待补齐；嘉立创料号待匹配；华秋料号待匹配</x:v>
      </x:c>
    </x:row>
    <x:row r="47" ht="48" customHeight="1">
      <x:c r="A47" s="9" t="str">
        <x:v>C40</x:v>
      </x:c>
      <x:c r="B47" s="9" t="str">
        <x:v>100nF</x:v>
      </x:c>
      <x:c r="C47" s="12" t="n">
        <x:v>1</x:v>
      </x:c>
      <x:c r="D47" s="9" t="str">
        <x:v>装配/计入采购</x:v>
      </x:c>
      <x:c r="E47" s="9" t="str"/>
      <x:c r="F47" s="9" t="str"/>
      <x:c r="G47" s="9" t="str">
        <x:v>Top</x:v>
      </x:c>
      <x:c r="H47" s="9" t="str">
        <x:v>Capacitor_SMD:C_0603_1608Metric</x:v>
      </x:c>
      <x:c r="I47" s="9" t="str">
        <x:v>Capacitor_SMD:C_0603_1608Metric</x:v>
      </x:c>
      <x:c r="J47" s="9" t="str"/>
      <x:c r="K47" s="9" t="str"/>
      <x:c r="L47" s="9" t="str">
        <x:v>/MCU_Core/</x:v>
      </x:c>
      <x:c r="M47" s="9" t="str">
        <x:v>GD32F303VET6.kicad_sch</x:v>
      </x:c>
      <x:c r="N47" s="9" t="str"/>
      <x:c r="O47" s="9" t="str">
        <x:v>Unpolarized capacitor, small symbol</x:v>
      </x:c>
      <x:c r="P47" s="9" t="str">
        <x:v>MPN待补齐；型号/数值按原设计保留；品牌待补齐；嘉立创料号待匹配；华秋料号待匹配</x:v>
      </x:c>
    </x:row>
    <x:row r="48" ht="48" customHeight="1">
      <x:c r="A48" s="13" t="str">
        <x:v>C41</x:v>
      </x:c>
      <x:c r="B48" s="13" t="str">
        <x:v>100nF</x:v>
      </x:c>
      <x:c r="C48" s="14" t="n">
        <x:v>0</x:v>
      </x:c>
      <x:c r="D48" s="16" t="str">
        <x:v>DNP不装配；原理图排除PCB；排除BOM；PCB中无封装</x:v>
      </x:c>
      <x:c r="E48" s="13" t="str">
        <x:v>CL10B104KB8NNNC</x:v>
      </x:c>
      <x:c r="F48" s="13" t="str">
        <x:v>Samsung Electro-Mechanics</x:v>
      </x:c>
      <x:c r="G48" s="13" t="str"/>
      <x:c r="H48" s="13" t="str">
        <x:v>Capacitor_SMD:C_0603_1608Metric</x:v>
      </x:c>
      <x:c r="I48" s="13" t="str">
        <x:v>Capacitor_SMD:C_0603_1608Metric</x:v>
      </x:c>
      <x:c r="J48" s="13" t="str"/>
      <x:c r="K48" s="13" t="str"/>
      <x:c r="L48" s="13" t="str">
        <x:v>/CAN/</x:v>
      </x:c>
      <x:c r="M48" s="13" t="str">
        <x:v>CAN.kicad_sch</x:v>
      </x:c>
      <x:c r="N48" s="13" t="str">
        <x:v>Capacitance=100nF；Tolerance=10%；Voltage_Rating=50V；Dielectric=X7R</x:v>
      </x:c>
      <x:c r="O48" s="13" t="str">
        <x:v>MLCC 0603 (EIA), 100nF, 50V, 10%, X7R</x:v>
      </x:c>
      <x:c r="P48" s="13" t="str"/>
    </x:row>
    <x:row r="49" ht="48" customHeight="1">
      <x:c r="A49" s="9" t="str">
        <x:v>C42</x:v>
      </x:c>
      <x:c r="B49" s="9" t="str">
        <x:v>100nF</x:v>
      </x:c>
      <x:c r="C49" s="12" t="n">
        <x:v>0</x:v>
      </x:c>
      <x:c r="D49" s="15" t="str">
        <x:v>DNP不装配；原理图排除PCB；排除BOM；PCB中无封装</x:v>
      </x:c>
      <x:c r="E49" s="9" t="str">
        <x:v>CL10B104KB8NNNC</x:v>
      </x:c>
      <x:c r="F49" s="9" t="str">
        <x:v>Samsung Electro-Mechanics</x:v>
      </x:c>
      <x:c r="G49" s="9" t="str"/>
      <x:c r="H49" s="9" t="str">
        <x:v>Capacitor_SMD:C_0603_1608Metric</x:v>
      </x:c>
      <x:c r="I49" s="9" t="str">
        <x:v>Capacitor_SMD:C_0603_1608Metric</x:v>
      </x:c>
      <x:c r="J49" s="9" t="str"/>
      <x:c r="K49" s="9" t="str"/>
      <x:c r="L49" s="9" t="str">
        <x:v>/CAN/</x:v>
      </x:c>
      <x:c r="M49" s="9" t="str">
        <x:v>CAN.kicad_sch</x:v>
      </x:c>
      <x:c r="N49" s="9" t="str">
        <x:v>Capacitance=100nF；Tolerance=10%；Voltage_Rating=50V；Dielectric=X7R</x:v>
      </x:c>
      <x:c r="O49" s="9" t="str">
        <x:v>MLCC 0603 (EIA), 100nF, 50V, 10%, X7R</x:v>
      </x:c>
      <x:c r="P49" s="9" t="str"/>
    </x:row>
    <x:row r="50" ht="48" customHeight="1">
      <x:c r="A50" s="13" t="str">
        <x:v>C43</x:v>
      </x:c>
      <x:c r="B50" s="13" t="str">
        <x:v>0603B104K500CT</x:v>
      </x:c>
      <x:c r="C50" s="14" t="n">
        <x:v>0</x:v>
      </x:c>
      <x:c r="D50" s="16" t="str">
        <x:v>DNP不装配；原理图排除PCB；排除BOM；PCB中无封装</x:v>
      </x:c>
      <x:c r="E50" s="13" t="str">
        <x:v>0603B104K500CT</x:v>
      </x:c>
      <x:c r="F50" s="13" t="str">
        <x:v>Walsin Technologies</x:v>
      </x:c>
      <x:c r="G50" s="13" t="str"/>
      <x:c r="H50" s="13" t="str">
        <x:v>Capacitor_SMD:C_0603_1608Metric</x:v>
      </x:c>
      <x:c r="I50" s="13" t="str">
        <x:v>Capacitor_SMD:C_0603_1608Metric</x:v>
      </x:c>
      <x:c r="J50" s="13" t="str"/>
      <x:c r="K50" s="13" t="str">
        <x:v>G3968056</x:v>
      </x:c>
      <x:c r="L50" s="13" t="str">
        <x:v>/RS232/</x:v>
      </x:c>
      <x:c r="M50" s="13" t="str">
        <x:v>RS232.kicad_sch</x:v>
      </x:c>
      <x:c r="N50" s="13" t="str"/>
      <x:c r="O50" s="13" t="str">
        <x:v>Chip Capacitor, 100 nF, 50 V, 0603, 10 %</x:v>
      </x:c>
      <x:c r="P50" s="13" t="str"/>
    </x:row>
    <x:row r="51" ht="48" customHeight="1">
      <x:c r="A51" s="9" t="str">
        <x:v>C44</x:v>
      </x:c>
      <x:c r="B51" s="9" t="str">
        <x:v>0603B104K500CT</x:v>
      </x:c>
      <x:c r="C51" s="12" t="n">
        <x:v>0</x:v>
      </x:c>
      <x:c r="D51" s="15" t="str">
        <x:v>DNP不装配；原理图排除PCB；排除BOM；PCB中无封装</x:v>
      </x:c>
      <x:c r="E51" s="9" t="str">
        <x:v>0603B104K500CT</x:v>
      </x:c>
      <x:c r="F51" s="9" t="str">
        <x:v>Walsin Technologies</x:v>
      </x:c>
      <x:c r="G51" s="9" t="str"/>
      <x:c r="H51" s="9" t="str">
        <x:v>Capacitor_SMD:C_0603_1608Metric</x:v>
      </x:c>
      <x:c r="I51" s="9" t="str">
        <x:v>Capacitor_SMD:C_0603_1608Metric</x:v>
      </x:c>
      <x:c r="J51" s="9" t="str"/>
      <x:c r="K51" s="9" t="str">
        <x:v>G3968056</x:v>
      </x:c>
      <x:c r="L51" s="9" t="str">
        <x:v>/RS232/</x:v>
      </x:c>
      <x:c r="M51" s="9" t="str">
        <x:v>RS232.kicad_sch</x:v>
      </x:c>
      <x:c r="N51" s="9" t="str"/>
      <x:c r="O51" s="9" t="str">
        <x:v>Chip Capacitor, 100 nF, 50 V, 0603, 10 %</x:v>
      </x:c>
      <x:c r="P51" s="9" t="str"/>
    </x:row>
    <x:row r="52" ht="48" customHeight="1">
      <x:c r="A52" s="13" t="str">
        <x:v>C45</x:v>
      </x:c>
      <x:c r="B52" s="13" t="str">
        <x:v>0603B104K500CT</x:v>
      </x:c>
      <x:c r="C52" s="14" t="n">
        <x:v>0</x:v>
      </x:c>
      <x:c r="D52" s="16" t="str">
        <x:v>DNP不装配；原理图排除PCB；排除BOM；PCB中无封装</x:v>
      </x:c>
      <x:c r="E52" s="13" t="str">
        <x:v>0603B104K500CT</x:v>
      </x:c>
      <x:c r="F52" s="13" t="str">
        <x:v>Walsin Technologies</x:v>
      </x:c>
      <x:c r="G52" s="13" t="str"/>
      <x:c r="H52" s="13" t="str">
        <x:v>Capacitor_SMD:C_0603_1608Metric</x:v>
      </x:c>
      <x:c r="I52" s="13" t="str">
        <x:v>Capacitor_SMD:C_0603_1608Metric</x:v>
      </x:c>
      <x:c r="J52" s="13" t="str"/>
      <x:c r="K52" s="13" t="str">
        <x:v>G3968056</x:v>
      </x:c>
      <x:c r="L52" s="13" t="str">
        <x:v>/RS232/</x:v>
      </x:c>
      <x:c r="M52" s="13" t="str">
        <x:v>RS232.kicad_sch</x:v>
      </x:c>
      <x:c r="N52" s="13" t="str"/>
      <x:c r="O52" s="13" t="str">
        <x:v>Chip Capacitor, 100 nF, 50 V, 0603, 10 %</x:v>
      </x:c>
      <x:c r="P52" s="13" t="str"/>
    </x:row>
    <x:row r="53" ht="48" customHeight="1">
      <x:c r="A53" s="9" t="str">
        <x:v>C46</x:v>
      </x:c>
      <x:c r="B53" s="9" t="str">
        <x:v>0603B104K500CT</x:v>
      </x:c>
      <x:c r="C53" s="12" t="n">
        <x:v>0</x:v>
      </x:c>
      <x:c r="D53" s="15" t="str">
        <x:v>DNP不装配；原理图排除PCB；排除BOM；PCB中无封装</x:v>
      </x:c>
      <x:c r="E53" s="9" t="str">
        <x:v>0603B104K500CT</x:v>
      </x:c>
      <x:c r="F53" s="9" t="str">
        <x:v>Walsin Technologies</x:v>
      </x:c>
      <x:c r="G53" s="9" t="str"/>
      <x:c r="H53" s="9" t="str">
        <x:v>Capacitor_SMD:C_0603_1608Metric</x:v>
      </x:c>
      <x:c r="I53" s="9" t="str">
        <x:v>Capacitor_SMD:C_0603_1608Metric</x:v>
      </x:c>
      <x:c r="J53" s="9" t="str"/>
      <x:c r="K53" s="9" t="str">
        <x:v>G3968056</x:v>
      </x:c>
      <x:c r="L53" s="9" t="str">
        <x:v>/RS232/</x:v>
      </x:c>
      <x:c r="M53" s="9" t="str">
        <x:v>RS232.kicad_sch</x:v>
      </x:c>
      <x:c r="N53" s="9" t="str"/>
      <x:c r="O53" s="9" t="str">
        <x:v>Chip Capacitor, 100 nF, 50 V, 0603, 10 %</x:v>
      </x:c>
      <x:c r="P53" s="9" t="str"/>
    </x:row>
    <x:row r="54" ht="48" customHeight="1">
      <x:c r="A54" s="13" t="str">
        <x:v>C47</x:v>
      </x:c>
      <x:c r="B54" s="13" t="str">
        <x:v>0603B104K500CT</x:v>
      </x:c>
      <x:c r="C54" s="14" t="n">
        <x:v>0</x:v>
      </x:c>
      <x:c r="D54" s="16" t="str">
        <x:v>DNP不装配；原理图排除PCB；排除BOM；PCB中无封装</x:v>
      </x:c>
      <x:c r="E54" s="13" t="str">
        <x:v>0603B104K500CT</x:v>
      </x:c>
      <x:c r="F54" s="13" t="str">
        <x:v>Walsin Technologies</x:v>
      </x:c>
      <x:c r="G54" s="13" t="str"/>
      <x:c r="H54" s="13" t="str">
        <x:v>Capacitor_SMD:C_0603_1608Metric</x:v>
      </x:c>
      <x:c r="I54" s="13" t="str">
        <x:v>Capacitor_SMD:C_0603_1608Metric</x:v>
      </x:c>
      <x:c r="J54" s="13" t="str"/>
      <x:c r="K54" s="13" t="str">
        <x:v>G3968056</x:v>
      </x:c>
      <x:c r="L54" s="13" t="str">
        <x:v>/RS232/</x:v>
      </x:c>
      <x:c r="M54" s="13" t="str">
        <x:v>RS232.kicad_sch</x:v>
      </x:c>
      <x:c r="N54" s="13" t="str"/>
      <x:c r="O54" s="13" t="str">
        <x:v>Chip Capacitor, 100 nF, 50 V, 0603, 10 %</x:v>
      </x:c>
      <x:c r="P54" s="13" t="str"/>
    </x:row>
    <x:row r="55" ht="48" customHeight="1">
      <x:c r="A55" s="9" t="str">
        <x:v>C48</x:v>
      </x:c>
      <x:c r="B55" s="9" t="str">
        <x:v>100nF</x:v>
      </x:c>
      <x:c r="C55" s="12" t="n">
        <x:v>0</x:v>
      </x:c>
      <x:c r="D55" s="15" t="str">
        <x:v>DNP不装配；原理图排除PCB；PCB中无封装</x:v>
      </x:c>
      <x:c r="E55" s="9" t="str"/>
      <x:c r="F55" s="9" t="str"/>
      <x:c r="G55" s="9" t="str"/>
      <x:c r="H55" s="9" t="str">
        <x:v>Capacitor_SMD:C_0603_1608Metric</x:v>
      </x:c>
      <x:c r="I55" s="9" t="str">
        <x:v>Capacitor_SMD:C_0603_1608Metric</x:v>
      </x:c>
      <x:c r="J55" s="9" t="str"/>
      <x:c r="K55" s="9" t="str"/>
      <x:c r="L55" s="9" t="str">
        <x:v>/RS485/</x:v>
      </x:c>
      <x:c r="M55" s="9" t="str">
        <x:v>RS485.kicad_sch</x:v>
      </x:c>
      <x:c r="N55" s="9" t="str"/>
      <x:c r="O55" s="9" t="str">
        <x:v>100nF, 50V, X7R, 0603; local isolator supply bypass</x:v>
      </x:c>
      <x:c r="P55" s="9" t="str"/>
    </x:row>
    <x:row r="56" ht="48" customHeight="1">
      <x:c r="A56" s="13" t="str">
        <x:v>C49</x:v>
      </x:c>
      <x:c r="B56" s="13" t="str">
        <x:v>100nF</x:v>
      </x:c>
      <x:c r="C56" s="14" t="n">
        <x:v>0</x:v>
      </x:c>
      <x:c r="D56" s="16" t="str">
        <x:v>DNP不装配；原理图排除PCB；PCB中无封装</x:v>
      </x:c>
      <x:c r="E56" s="13" t="str"/>
      <x:c r="F56" s="13" t="str"/>
      <x:c r="G56" s="13" t="str"/>
      <x:c r="H56" s="13" t="str">
        <x:v>Capacitor_SMD:C_0603_1608Metric</x:v>
      </x:c>
      <x:c r="I56" s="13" t="str">
        <x:v>Capacitor_SMD:C_0603_1608Metric</x:v>
      </x:c>
      <x:c r="J56" s="13" t="str"/>
      <x:c r="K56" s="13" t="str"/>
      <x:c r="L56" s="13" t="str">
        <x:v>/RS485/</x:v>
      </x:c>
      <x:c r="M56" s="13" t="str">
        <x:v>RS485.kicad_sch</x:v>
      </x:c>
      <x:c r="N56" s="13" t="str"/>
      <x:c r="O56" s="13" t="str">
        <x:v>100nF, 50V, X7R, 0603; local isolator supply bypass</x:v>
      </x:c>
      <x:c r="P56" s="13" t="str"/>
    </x:row>
    <x:row r="57" ht="48" customHeight="1">
      <x:c r="A57" s="9" t="str">
        <x:v>C50</x:v>
      </x:c>
      <x:c r="B57" s="9" t="str">
        <x:v>100nF</x:v>
      </x:c>
      <x:c r="C57" s="12" t="n">
        <x:v>1</x:v>
      </x:c>
      <x:c r="D57" s="9" t="str">
        <x:v>装配/计入采购</x:v>
      </x:c>
      <x:c r="E57" s="9" t="str">
        <x:v>CL10B104KB8NNNC</x:v>
      </x:c>
      <x:c r="F57" s="9" t="str">
        <x:v>Samsung Electro-Mechanics</x:v>
      </x:c>
      <x:c r="G57" s="9" t="str">
        <x:v>Top</x:v>
      </x:c>
      <x:c r="H57" s="9" t="str">
        <x:v>Capacitor_SMD:C_0603_1608Metric</x:v>
      </x:c>
      <x:c r="I57" s="9" t="str">
        <x:v>Capacitor_SMD:C_0603_1608Metric</x:v>
      </x:c>
      <x:c r="J57" s="9" t="str"/>
      <x:c r="K57" s="9" t="str"/>
      <x:c r="L57" s="9" t="str">
        <x:v>/RS485/</x:v>
      </x:c>
      <x:c r="M57" s="9" t="str">
        <x:v>RS485.kicad_sch</x:v>
      </x:c>
      <x:c r="N57" s="9" t="str">
        <x:v>Capacitance=100nF；Tolerance=10%；Voltage_Rating=50V；Dielectric=X7R</x:v>
      </x:c>
      <x:c r="O57" s="9" t="str">
        <x:v>MLCC 0603 (EIA), 100nF, 50V, 10%, X7R</x:v>
      </x:c>
      <x:c r="P57" s="9" t="str">
        <x:v>嘉立创料号待匹配；华秋料号待匹配</x:v>
      </x:c>
    </x:row>
    <x:row r="58" ht="48" customHeight="1">
      <x:c r="A58" s="13" t="str">
        <x:v>C51</x:v>
      </x:c>
      <x:c r="B58" s="13" t="str">
        <x:v>100nF</x:v>
      </x:c>
      <x:c r="C58" s="14" t="n">
        <x:v>1</x:v>
      </x:c>
      <x:c r="D58" s="13" t="str">
        <x:v>装配/计入采购</x:v>
      </x:c>
      <x:c r="E58" s="13" t="str"/>
      <x:c r="F58" s="13" t="str"/>
      <x:c r="G58" s="13" t="str">
        <x:v>Top</x:v>
      </x:c>
      <x:c r="H58" s="13" t="str">
        <x:v>Capacitor_SMD:C_0603_1608Metric</x:v>
      </x:c>
      <x:c r="I58" s="13" t="str">
        <x:v>Capacitor_SMD:C_0603_1608Metric</x:v>
      </x:c>
      <x:c r="J58" s="13" t="str"/>
      <x:c r="K58" s="13" t="str"/>
      <x:c r="L58" s="13" t="str">
        <x:v>/MCU_Core/Motor_Comm/</x:v>
      </x:c>
      <x:c r="M58" s="13" t="str">
        <x:v>Motor_Comm.kicad_sch</x:v>
      </x:c>
      <x:c r="N58" s="13" t="str"/>
      <x:c r="O58" s="13" t="str">
        <x:v>Unpolarized capacitor</x:v>
      </x:c>
      <x:c r="P58" s="13" t="str">
        <x:v>MPN待补齐；型号/数值按原设计保留；品牌待补齐；嘉立创料号待匹配；华秋料号待匹配</x:v>
      </x:c>
    </x:row>
    <x:row r="59" ht="48" customHeight="1">
      <x:c r="A59" s="9" t="str">
        <x:v>C52</x:v>
      </x:c>
      <x:c r="B59" s="9" t="str">
        <x:v>C</x:v>
      </x:c>
      <x:c r="C59" s="12" t="n">
        <x:v>0</x:v>
      </x:c>
      <x:c r="D59" s="15" t="str">
        <x:v>DNP不装配；原理图排除PCB；排除BOM；PCB中无封装</x:v>
      </x:c>
      <x:c r="E59" s="9" t="str"/>
      <x:c r="F59" s="9" t="str"/>
      <x:c r="G59" s="9" t="str"/>
      <x:c r="H59" s="9" t="str">
        <x:v>Capacitor_SMD:C_0603_1608Metric</x:v>
      </x:c>
      <x:c r="I59" s="9" t="str">
        <x:v>Capacitor_SMD:C_0603_1608Metric</x:v>
      </x:c>
      <x:c r="J59" s="9" t="str"/>
      <x:c r="K59" s="9" t="str"/>
      <x:c r="L59" s="9" t="str">
        <x:v>/MCU_Core/Motor_Comm/</x:v>
      </x:c>
      <x:c r="M59" s="9" t="str">
        <x:v>Motor_Comm.kicad_sch</x:v>
      </x:c>
      <x:c r="N59" s="9" t="str"/>
      <x:c r="O59" s="9" t="str">
        <x:v>Unpolarized capacitor</x:v>
      </x:c>
      <x:c r="P59" s="9" t="str"/>
    </x:row>
    <x:row r="60" ht="48" customHeight="1">
      <x:c r="A60" s="13" t="str">
        <x:v>C53</x:v>
      </x:c>
      <x:c r="B60" s="13" t="str">
        <x:v>100nF</x:v>
      </x:c>
      <x:c r="C60" s="14" t="n">
        <x:v>1</x:v>
      </x:c>
      <x:c r="D60" s="13" t="str">
        <x:v>装配/计入采购</x:v>
      </x:c>
      <x:c r="E60" s="13" t="str"/>
      <x:c r="F60" s="13" t="str"/>
      <x:c r="G60" s="13" t="str">
        <x:v>Top</x:v>
      </x:c>
      <x:c r="H60" s="13" t="str">
        <x:v>Capacitor_SMD:C_0603_1608Metric</x:v>
      </x:c>
      <x:c r="I60" s="13" t="str">
        <x:v>Capacitor_SMD:C_0603_1608Metric</x:v>
      </x:c>
      <x:c r="J60" s="13" t="str"/>
      <x:c r="K60" s="13" t="str"/>
      <x:c r="L60" s="13" t="str">
        <x:v>/MCU_Core/Motor_Comm/</x:v>
      </x:c>
      <x:c r="M60" s="13" t="str">
        <x:v>Motor_Comm.kicad_sch</x:v>
      </x:c>
      <x:c r="N60" s="13" t="str"/>
      <x:c r="O60" s="13" t="str">
        <x:v>Unpolarized capacitor</x:v>
      </x:c>
      <x:c r="P60" s="13" t="str">
        <x:v>MPN待补齐；型号/数值按原设计保留；品牌待补齐；嘉立创料号待匹配；华秋料号待匹配</x:v>
      </x:c>
    </x:row>
    <x:row r="61" ht="48" customHeight="1">
      <x:c r="A61" s="9" t="str">
        <x:v>C54</x:v>
      </x:c>
      <x:c r="B61" s="9" t="str">
        <x:v>C</x:v>
      </x:c>
      <x:c r="C61" s="12" t="n">
        <x:v>0</x:v>
      </x:c>
      <x:c r="D61" s="15" t="str">
        <x:v>DNP不装配；原理图排除PCB；排除BOM；PCB中无封装</x:v>
      </x:c>
      <x:c r="E61" s="9" t="str"/>
      <x:c r="F61" s="9" t="str"/>
      <x:c r="G61" s="9" t="str"/>
      <x:c r="H61" s="9" t="str">
        <x:v>Capacitor_SMD:C_0603_1608Metric</x:v>
      </x:c>
      <x:c r="I61" s="9" t="str">
        <x:v>Capacitor_SMD:C_0603_1608Metric</x:v>
      </x:c>
      <x:c r="J61" s="9" t="str"/>
      <x:c r="K61" s="9" t="str"/>
      <x:c r="L61" s="9" t="str">
        <x:v>/MCU_Core/Motor_Comm/</x:v>
      </x:c>
      <x:c r="M61" s="9" t="str">
        <x:v>Motor_Comm.kicad_sch</x:v>
      </x:c>
      <x:c r="N61" s="9" t="str"/>
      <x:c r="O61" s="9" t="str">
        <x:v>Unpolarized capacitor</x:v>
      </x:c>
      <x:c r="P61" s="9" t="str"/>
    </x:row>
    <x:row r="62" ht="48" customHeight="1">
      <x:c r="A62" s="13" t="str">
        <x:v>C55</x:v>
      </x:c>
      <x:c r="B62" s="13" t="str">
        <x:v>100nF</x:v>
      </x:c>
      <x:c r="C62" s="14" t="n">
        <x:v>1</x:v>
      </x:c>
      <x:c r="D62" s="13" t="str">
        <x:v>装配/计入采购</x:v>
      </x:c>
      <x:c r="E62" s="13" t="str"/>
      <x:c r="F62" s="13" t="str"/>
      <x:c r="G62" s="13" t="str">
        <x:v>Top</x:v>
      </x:c>
      <x:c r="H62" s="13" t="str">
        <x:v>Capacitor_SMD:C_0603_1608Metric</x:v>
      </x:c>
      <x:c r="I62" s="13" t="str">
        <x:v>Capacitor_SMD:C_0603_1608Metric</x:v>
      </x:c>
      <x:c r="J62" s="13" t="str"/>
      <x:c r="K62" s="13" t="str"/>
      <x:c r="L62" s="13" t="str">
        <x:v>/MCU_Core/Motor_Comm/</x:v>
      </x:c>
      <x:c r="M62" s="13" t="str">
        <x:v>Motor_Comm.kicad_sch</x:v>
      </x:c>
      <x:c r="N62" s="13" t="str"/>
      <x:c r="O62" s="13" t="str"/>
      <x:c r="P62" s="13" t="str">
        <x:v>MPN待补齐；型号/数值按原设计保留；品牌待补齐；嘉立创料号待匹配；华秋料号待匹配</x:v>
      </x:c>
    </x:row>
    <x:row r="63" ht="48" customHeight="1">
      <x:c r="A63" s="9" t="str">
        <x:v>C56</x:v>
      </x:c>
      <x:c r="B63" s="9" t="str">
        <x:v>100nF</x:v>
      </x:c>
      <x:c r="C63" s="12" t="n">
        <x:v>1</x:v>
      </x:c>
      <x:c r="D63" s="9" t="str">
        <x:v>装配/计入采购</x:v>
      </x:c>
      <x:c r="E63" s="9" t="str"/>
      <x:c r="F63" s="9" t="str"/>
      <x:c r="G63" s="9" t="str">
        <x:v>Top</x:v>
      </x:c>
      <x:c r="H63" s="9" t="str">
        <x:v>Capacitor_SMD:C_0603_1608Metric</x:v>
      </x:c>
      <x:c r="I63" s="9" t="str">
        <x:v>Capacitor_SMD:C_0603_1608Metric</x:v>
      </x:c>
      <x:c r="J63" s="9" t="str"/>
      <x:c r="K63" s="9" t="str"/>
      <x:c r="L63" s="9" t="str">
        <x:v>/MCU_Core/Motor_Comm/</x:v>
      </x:c>
      <x:c r="M63" s="9" t="str">
        <x:v>Motor_Comm.kicad_sch</x:v>
      </x:c>
      <x:c r="N63" s="9" t="str"/>
      <x:c r="O63" s="9" t="str"/>
      <x:c r="P63" s="9" t="str">
        <x:v>MPN待补齐；型号/数值按原设计保留；品牌待补齐；嘉立创料号待匹配；华秋料号待匹配</x:v>
      </x:c>
    </x:row>
    <x:row r="64" ht="48" customHeight="1">
      <x:c r="A64" s="13" t="str">
        <x:v>C57</x:v>
      </x:c>
      <x:c r="B64" s="13" t="str">
        <x:v>100nF</x:v>
      </x:c>
      <x:c r="C64" s="14" t="n">
        <x:v>1</x:v>
      </x:c>
      <x:c r="D64" s="13" t="str">
        <x:v>装配/计入采购</x:v>
      </x:c>
      <x:c r="E64" s="13" t="str"/>
      <x:c r="F64" s="13" t="str"/>
      <x:c r="G64" s="13" t="str">
        <x:v>Top</x:v>
      </x:c>
      <x:c r="H64" s="13" t="str">
        <x:v>Capacitor_SMD:C_0603_1608Metric</x:v>
      </x:c>
      <x:c r="I64" s="13" t="str">
        <x:v>Capacitor_SMD:C_0603_1608Metric</x:v>
      </x:c>
      <x:c r="J64" s="13" t="str"/>
      <x:c r="K64" s="13" t="str"/>
      <x:c r="L64" s="13" t="str">
        <x:v>/MCU_Core/Motor_Comm/</x:v>
      </x:c>
      <x:c r="M64" s="13" t="str">
        <x:v>Motor_Comm.kicad_sch</x:v>
      </x:c>
      <x:c r="N64" s="13" t="str"/>
      <x:c r="O64" s="13" t="str"/>
      <x:c r="P64" s="13" t="str">
        <x:v>MPN待补齐；型号/数值按原设计保留；品牌待补齐；嘉立创料号待匹配；华秋料号待匹配</x:v>
      </x:c>
    </x:row>
    <x:row r="65" ht="48" customHeight="1">
      <x:c r="A65" s="9" t="str">
        <x:v>C58</x:v>
      </x:c>
      <x:c r="B65" s="9" t="str">
        <x:v>100nF</x:v>
      </x:c>
      <x:c r="C65" s="12" t="n">
        <x:v>1</x:v>
      </x:c>
      <x:c r="D65" s="9" t="str">
        <x:v>装配/计入采购</x:v>
      </x:c>
      <x:c r="E65" s="9" t="str"/>
      <x:c r="F65" s="9" t="str"/>
      <x:c r="G65" s="9" t="str">
        <x:v>Top</x:v>
      </x:c>
      <x:c r="H65" s="9" t="str">
        <x:v>Capacitor_SMD:C_0603_1608Metric</x:v>
      </x:c>
      <x:c r="I65" s="9" t="str">
        <x:v>Capacitor_SMD:C_0603_1608Metric</x:v>
      </x:c>
      <x:c r="J65" s="9" t="str"/>
      <x:c r="K65" s="9" t="str"/>
      <x:c r="L65" s="9" t="str">
        <x:v>/MCU_Core/Motor_Comm/</x:v>
      </x:c>
      <x:c r="M65" s="9" t="str">
        <x:v>Motor_Comm.kicad_sch</x:v>
      </x:c>
      <x:c r="N65" s="9" t="str"/>
      <x:c r="O65" s="9" t="str"/>
      <x:c r="P65" s="9" t="str">
        <x:v>MPN待补齐；型号/数值按原设计保留；品牌待补齐；嘉立创料号待匹配；华秋料号待匹配</x:v>
      </x:c>
    </x:row>
    <x:row r="66" ht="48" customHeight="1">
      <x:c r="A66" s="13" t="str">
        <x:v>C59</x:v>
      </x:c>
      <x:c r="B66" s="13" t="str">
        <x:v>100nF</x:v>
      </x:c>
      <x:c r="C66" s="14" t="n">
        <x:v>0</x:v>
      </x:c>
      <x:c r="D66" s="16" t="str">
        <x:v>DNP不装配；原理图排除PCB；排除BOM；PCB中无封装</x:v>
      </x:c>
      <x:c r="E66" s="13" t="str">
        <x:v>CL10B104KB8NNNC</x:v>
      </x:c>
      <x:c r="F66" s="13" t="str">
        <x:v>Samsung Electro-Mechanics</x:v>
      </x:c>
      <x:c r="G66" s="13" t="str"/>
      <x:c r="H66" s="13" t="str">
        <x:v>Capacitor_SMD:C_0603_1608Metric</x:v>
      </x:c>
      <x:c r="I66" s="13" t="str">
        <x:v>Capacitor_SMD:C_0603_1608Metric</x:v>
      </x:c>
      <x:c r="J66" s="13" t="str"/>
      <x:c r="K66" s="13" t="str"/>
      <x:c r="L66" s="13" t="str">
        <x:v>/MCU_Core/USB_TTL_CH340/</x:v>
      </x:c>
      <x:c r="M66" s="13" t="str">
        <x:v>TTL_CH340.kicad_sch</x:v>
      </x:c>
      <x:c r="N66" s="13" t="str">
        <x:v>Capacitance=100nF；Tolerance=10%；Voltage_Rating=50V；Dielectric=X7R</x:v>
      </x:c>
      <x:c r="O66" s="13" t="str">
        <x:v>MLCC 0603 (EIA), 100nF, 50V, 10%, X7R</x:v>
      </x:c>
      <x:c r="P66" s="13" t="str"/>
    </x:row>
    <x:row r="67" ht="48" customHeight="1">
      <x:c r="A67" s="9" t="str">
        <x:v>C60</x:v>
      </x:c>
      <x:c r="B67" s="9" t="str">
        <x:v>100nF</x:v>
      </x:c>
      <x:c r="C67" s="12" t="n">
        <x:v>0</x:v>
      </x:c>
      <x:c r="D67" s="15" t="str">
        <x:v>DNP不装配；原理图排除PCB；排除BOM；PCB中无封装</x:v>
      </x:c>
      <x:c r="E67" s="9" t="str">
        <x:v>CL10B104KB8NNNC</x:v>
      </x:c>
      <x:c r="F67" s="9" t="str">
        <x:v>Samsung Electro-Mechanics</x:v>
      </x:c>
      <x:c r="G67" s="9" t="str"/>
      <x:c r="H67" s="9" t="str">
        <x:v>Capacitor_SMD:C_0603_1608Metric</x:v>
      </x:c>
      <x:c r="I67" s="9" t="str">
        <x:v>Capacitor_SMD:C_0603_1608Metric</x:v>
      </x:c>
      <x:c r="J67" s="9" t="str"/>
      <x:c r="K67" s="9" t="str"/>
      <x:c r="L67" s="9" t="str">
        <x:v>/MCU_Core/USB_TTL_CH340/</x:v>
      </x:c>
      <x:c r="M67" s="9" t="str">
        <x:v>TTL_CH340.kicad_sch</x:v>
      </x:c>
      <x:c r="N67" s="9" t="str">
        <x:v>Capacitance=100nF；Tolerance=10%；Voltage_Rating=50V；Dielectric=X7R</x:v>
      </x:c>
      <x:c r="O67" s="9" t="str">
        <x:v>MLCC 0603 (EIA), 100nF, 50V, 10%, X7R</x:v>
      </x:c>
      <x:c r="P67" s="9" t="str"/>
    </x:row>
    <x:row r="68" ht="48" customHeight="1">
      <x:c r="A68" s="13" t="str">
        <x:v>C61</x:v>
      </x:c>
      <x:c r="B68" s="13" t="str">
        <x:v>1uF/10V</x:v>
      </x:c>
      <x:c r="C68" s="14" t="n">
        <x:v>1</x:v>
      </x:c>
      <x:c r="D68" s="13" t="str">
        <x:v>装配/计入采购</x:v>
      </x:c>
      <x:c r="E68" s="13" t="str"/>
      <x:c r="F68" s="13" t="str"/>
      <x:c r="G68" s="13" t="str">
        <x:v>Bottom</x:v>
      </x:c>
      <x:c r="H68" s="13" t="str">
        <x:v>Capacitor_SMD:C_0402_1005Metric</x:v>
      </x:c>
      <x:c r="I68" s="13" t="str">
        <x:v>Capacitor_SMD:C_0402_1005Metric</x:v>
      </x:c>
      <x:c r="J68" s="13" t="str"/>
      <x:c r="K68" s="13" t="str"/>
      <x:c r="L68" s="13" t="str">
        <x:v>/MCU_Core/USB_TTL_CH340/</x:v>
      </x:c>
      <x:c r="M68" s="13" t="str">
        <x:v>TTL_CH340.kicad_sch</x:v>
      </x:c>
      <x:c r="N68" s="13" t="str"/>
      <x:c r="O68" s="13" t="str">
        <x:v>Unpolarized capacitor</x:v>
      </x:c>
      <x:c r="P68" s="13" t="str">
        <x:v>MPN待补齐；型号/数值按原设计保留；品牌待补齐；嘉立创料号待匹配；华秋料号待匹配</x:v>
      </x:c>
    </x:row>
    <x:row r="69" ht="48" customHeight="1">
      <x:c r="A69" s="9" t="str">
        <x:v>C62</x:v>
      </x:c>
      <x:c r="B69" s="9" t="str">
        <x:v>1uF</x:v>
      </x:c>
      <x:c r="C69" s="12" t="n">
        <x:v>1</x:v>
      </x:c>
      <x:c r="D69" s="9" t="str">
        <x:v>装配/计入采购</x:v>
      </x:c>
      <x:c r="E69" s="9" t="str">
        <x:v>CL10A105KA8NNNC</x:v>
      </x:c>
      <x:c r="F69" s="9" t="str">
        <x:v>Samsung Electro-Mechanics</x:v>
      </x:c>
      <x:c r="G69" s="9" t="str">
        <x:v>Top</x:v>
      </x:c>
      <x:c r="H69" s="9" t="str">
        <x:v>Capacitor_SMD:C_0603_1608Metric</x:v>
      </x:c>
      <x:c r="I69" s="9" t="str">
        <x:v>Capacitor_SMD:C_0603_1608Metric</x:v>
      </x:c>
      <x:c r="J69" s="9" t="str"/>
      <x:c r="K69" s="9" t="str"/>
      <x:c r="L69" s="9" t="str">
        <x:v>/MCU_Core/USB_TTL_CH340/</x:v>
      </x:c>
      <x:c r="M69" s="9" t="str">
        <x:v>TTL_CH340.kicad_sch</x:v>
      </x:c>
      <x:c r="N69" s="9" t="str">
        <x:v>Capacitance=1uF；Tolerance=10%；Voltage_Rating=25V；Dielectric=X5R</x:v>
      </x:c>
      <x:c r="O69" s="9" t="str">
        <x:v>MLCC 0603 (EIA), 1uF, 25V, 10%, X5R</x:v>
      </x:c>
      <x:c r="P69" s="9" t="str">
        <x:v>嘉立创料号待匹配；华秋料号待匹配</x:v>
      </x:c>
    </x:row>
    <x:row r="70" ht="48" customHeight="1">
      <x:c r="A70" s="13" t="str">
        <x:v>C63</x:v>
      </x:c>
      <x:c r="B70" s="13" t="str">
        <x:v>100nF</x:v>
      </x:c>
      <x:c r="C70" s="14" t="n">
        <x:v>1</x:v>
      </x:c>
      <x:c r="D70" s="13" t="str">
        <x:v>装配/计入采购</x:v>
      </x:c>
      <x:c r="E70" s="13" t="str">
        <x:v>CL10B104KB8NNNC</x:v>
      </x:c>
      <x:c r="F70" s="13" t="str">
        <x:v>Samsung Electro-Mechanics</x:v>
      </x:c>
      <x:c r="G70" s="13" t="str">
        <x:v>Top</x:v>
      </x:c>
      <x:c r="H70" s="13" t="str">
        <x:v>Capacitor_SMD:C_0603_1608Metric</x:v>
      </x:c>
      <x:c r="I70" s="13" t="str">
        <x:v>Capacitor_SMD:C_0603_1608Metric</x:v>
      </x:c>
      <x:c r="J70" s="13" t="str"/>
      <x:c r="K70" s="13" t="str"/>
      <x:c r="L70" s="13" t="str">
        <x:v>/MCU_Core/USB_TTL_CH340/</x:v>
      </x:c>
      <x:c r="M70" s="13" t="str">
        <x:v>TTL_CH340.kicad_sch</x:v>
      </x:c>
      <x:c r="N70" s="13" t="str">
        <x:v>Capacitance=100nF；Tolerance=10%；Voltage_Rating=50V；Dielectric=X7R</x:v>
      </x:c>
      <x:c r="O70" s="13" t="str">
        <x:v>MLCC 0603 (EIA), 100nF, 50V, 10%, X7R</x:v>
      </x:c>
      <x:c r="P70" s="13" t="str">
        <x:v>嘉立创料号待匹配；华秋料号待匹配</x:v>
      </x:c>
    </x:row>
    <x:row r="71" ht="48" customHeight="1">
      <x:c r="A71" s="9" t="str">
        <x:v>C64</x:v>
      </x:c>
      <x:c r="B71" s="9" t="str">
        <x:v>CC1206MKX7RDBB102</x:v>
      </x:c>
      <x:c r="C71" s="12" t="n">
        <x:v>1</x:v>
      </x:c>
      <x:c r="D71" s="9" t="str">
        <x:v>装配/计入采购</x:v>
      </x:c>
      <x:c r="E71" s="9" t="str">
        <x:v>CC1206MKX7RDBB102</x:v>
      </x:c>
      <x:c r="F71" s="9" t="str">
        <x:v>Yageo</x:v>
      </x:c>
      <x:c r="G71" s="9" t="str">
        <x:v>Top</x:v>
      </x:c>
      <x:c r="H71" s="9" t="str">
        <x:v>kicad_api_lib:CC1206MKX7RDBB102</x:v>
      </x:c>
      <x:c r="I71" s="9" t="str">
        <x:v>kicad_api_lib:CC1206MKX7RDBB102</x:v>
      </x:c>
      <x:c r="J71" s="9" t="str"/>
      <x:c r="K71" s="9" t="str">
        <x:v>G4630350</x:v>
      </x:c>
      <x:c r="L71" s="9" t="str">
        <x:v>/MCU_Core/USB_TTL_CH340/</x:v>
      </x:c>
      <x:c r="M71" s="9" t="str">
        <x:v>TTL_CH340.kicad_sch</x:v>
      </x:c>
      <x:c r="N71" s="9" t="str"/>
      <x:c r="O71" s="9" t="str">
        <x:v>Chip Capacitor, 1 nF, 2000 V, 1206, 0.2</x:v>
      </x:c>
      <x:c r="P71" s="9" t="str">
        <x:v>嘉立创料号待匹配</x:v>
      </x:c>
    </x:row>
    <x:row r="72" ht="48" customHeight="1">
      <x:c r="A72" s="13" t="str">
        <x:v>C65</x:v>
      </x:c>
      <x:c r="B72" s="13" t="str">
        <x:v>1uF/10V</x:v>
      </x:c>
      <x:c r="C72" s="14" t="n">
        <x:v>1</x:v>
      </x:c>
      <x:c r="D72" s="13" t="str">
        <x:v>装配/计入采购</x:v>
      </x:c>
      <x:c r="E72" s="13" t="str"/>
      <x:c r="F72" s="13" t="str"/>
      <x:c r="G72" s="13" t="str">
        <x:v>Bottom</x:v>
      </x:c>
      <x:c r="H72" s="13" t="str">
        <x:v>Capacitor_SMD:C_0603_1608Metric</x:v>
      </x:c>
      <x:c r="I72" s="13" t="str">
        <x:v>Capacitor_SMD:C_0603_1608Metric</x:v>
      </x:c>
      <x:c r="J72" s="13" t="str"/>
      <x:c r="K72" s="13" t="str"/>
      <x:c r="L72" s="13" t="str">
        <x:v>/MCU_Core/USB_TTL_CH340/</x:v>
      </x:c>
      <x:c r="M72" s="13" t="str">
        <x:v>TTL_CH340.kicad_sch</x:v>
      </x:c>
      <x:c r="N72" s="13" t="str"/>
      <x:c r="O72" s="13" t="str">
        <x:v>Unpolarized capacitor</x:v>
      </x:c>
      <x:c r="P72" s="13" t="str">
        <x:v>MPN待补齐；型号/数值按原设计保留；品牌待补齐；嘉立创料号待匹配；华秋料号待匹配</x:v>
      </x:c>
    </x:row>
    <x:row r="73" ht="48" customHeight="1">
      <x:c r="A73" s="9" t="str">
        <x:v>C66</x:v>
      </x:c>
      <x:c r="B73" s="9" t="str">
        <x:v>0603X106M100NT</x:v>
      </x:c>
      <x:c r="C73" s="12" t="n">
        <x:v>1</x:v>
      </x:c>
      <x:c r="D73" s="9" t="str">
        <x:v>装配/计入采购</x:v>
      </x:c>
      <x:c r="E73" s="9" t="str">
        <x:v>0603X106M100NT</x:v>
      </x:c>
      <x:c r="F73" s="9" t="str">
        <x:v>Fenghua</x:v>
      </x:c>
      <x:c r="G73" s="9" t="str">
        <x:v>Top</x:v>
      </x:c>
      <x:c r="H73" s="9" t="str">
        <x:v>Capacitor_SMD:C_0402_1005Metric</x:v>
      </x:c>
      <x:c r="I73" s="9" t="str">
        <x:v>Capacitor_SMD:C_0402_1005Metric</x:v>
      </x:c>
      <x:c r="J73" s="9" t="str"/>
      <x:c r="K73" s="9" t="str">
        <x:v>G4186294</x:v>
      </x:c>
      <x:c r="L73" s="9" t="str">
        <x:v>/MCU_Core/USB_TTL_CH340/</x:v>
      </x:c>
      <x:c r="M73" s="9" t="str">
        <x:v>TTL_CH340.kicad_sch</x:v>
      </x:c>
      <x:c r="N73" s="9" t="str"/>
      <x:c r="O73" s="9" t="str">
        <x:v>温度系数:X5R;精度:±20%;额定电压:10V;容值:10uF;</x:v>
      </x:c>
      <x:c r="P73" s="9" t="str">
        <x:v>嘉立创料号待匹配</x:v>
      </x:c>
    </x:row>
    <x:row r="74" ht="48" customHeight="1">
      <x:c r="A74" s="13" t="str">
        <x:v>C67</x:v>
      </x:c>
      <x:c r="B74" s="13" t="str">
        <x:v>C1005X5R1H104K050BB</x:v>
      </x:c>
      <x:c r="C74" s="14" t="n">
        <x:v>1</x:v>
      </x:c>
      <x:c r="D74" s="13" t="str">
        <x:v>装配/计入采购</x:v>
      </x:c>
      <x:c r="E74" s="13" t="str">
        <x:v>C1005X5R1H104K050BB</x:v>
      </x:c>
      <x:c r="F74" s="13" t="str">
        <x:v>TDK</x:v>
      </x:c>
      <x:c r="G74" s="13" t="str">
        <x:v>Top</x:v>
      </x:c>
      <x:c r="H74" s="13" t="str">
        <x:v>Capacitor_SMD:C_0402_1005Metric</x:v>
      </x:c>
      <x:c r="I74" s="13" t="str">
        <x:v>Capacitor_SMD:C_0402_1005Metric</x:v>
      </x:c>
      <x:c r="J74" s="13" t="str"/>
      <x:c r="K74" s="13" t="str">
        <x:v>G0030431</x:v>
      </x:c>
      <x:c r="L74" s="13" t="str">
        <x:v>/MCU_Core/USB_TTL_CH340/</x:v>
      </x:c>
      <x:c r="M74" s="13" t="str">
        <x:v>TTL_CH340.kicad_sch</x:v>
      </x:c>
      <x:c r="N74" s="13" t="str"/>
      <x:c r="O74" s="13" t="str">
        <x:v>Chip Capacitor, 100 nF, 50 V, 0402, 10 %</x:v>
      </x:c>
      <x:c r="P74" s="13" t="str">
        <x:v>嘉立创料号待匹配</x:v>
      </x:c>
    </x:row>
    <x:row r="75" ht="48" customHeight="1">
      <x:c r="A75" s="9" t="str">
        <x:v>C68</x:v>
      </x:c>
      <x:c r="B75" s="9" t="str">
        <x:v>10uF / 10V X5R</x:v>
      </x:c>
      <x:c r="C75" s="12" t="n">
        <x:v>0</x:v>
      </x:c>
      <x:c r="D75" s="15" t="str">
        <x:v>DNP不装配；原理图排除PCB；排除BOM；PCB中无封装</x:v>
      </x:c>
      <x:c r="E75" s="9" t="str"/>
      <x:c r="F75" s="9" t="str"/>
      <x:c r="G75" s="9" t="str"/>
      <x:c r="H75" s="9" t="str">
        <x:v>Capacitor_SMD:C_0603_1608Metric</x:v>
      </x:c>
      <x:c r="I75" s="9" t="str">
        <x:v>Capacitor_SMD:C_0603_1608Metric</x:v>
      </x:c>
      <x:c r="J75" s="9" t="str"/>
      <x:c r="K75" s="9" t="str"/>
      <x:c r="L75" s="9" t="str">
        <x:v>/MCU_Core/WiFi_OTA/</x:v>
      </x:c>
      <x:c r="M75" s="9" t="str">
        <x:v>WiFi_OTA.kicad_sch</x:v>
      </x:c>
      <x:c r="N75" s="9" t="str"/>
      <x:c r="O75" s="9" t="str"/>
      <x:c r="P75" s="9" t="str"/>
    </x:row>
    <x:row r="76" ht="48" customHeight="1">
      <x:c r="A76" s="13" t="str">
        <x:v>C69</x:v>
      </x:c>
      <x:c r="B76" s="13" t="str">
        <x:v>1uF / 10V</x:v>
      </x:c>
      <x:c r="C76" s="14" t="n">
        <x:v>0</x:v>
      </x:c>
      <x:c r="D76" s="16" t="str">
        <x:v>DNP不装配；原理图排除PCB；排除BOM；PCB中无封装</x:v>
      </x:c>
      <x:c r="E76" s="13" t="str"/>
      <x:c r="F76" s="13" t="str"/>
      <x:c r="G76" s="13" t="str"/>
      <x:c r="H76" s="13" t="str">
        <x:v>Capacitor_SMD:C_0603_1608Metric</x:v>
      </x:c>
      <x:c r="I76" s="13" t="str">
        <x:v>Capacitor_SMD:C_0603_1608Metric</x:v>
      </x:c>
      <x:c r="J76" s="13" t="str"/>
      <x:c r="K76" s="13" t="str"/>
      <x:c r="L76" s="13" t="str">
        <x:v>/MCU_Core/WiFi_OTA/</x:v>
      </x:c>
      <x:c r="M76" s="13" t="str">
        <x:v>WiFi_OTA.kicad_sch</x:v>
      </x:c>
      <x:c r="N76" s="13" t="str"/>
      <x:c r="O76" s="13" t="str"/>
      <x:c r="P76" s="13" t="str"/>
    </x:row>
    <x:row r="77" ht="48" customHeight="1">
      <x:c r="A77" s="9" t="str">
        <x:v>C70</x:v>
      </x:c>
      <x:c r="B77" s="9" t="str">
        <x:v>100nF / 16V X7R</x:v>
      </x:c>
      <x:c r="C77" s="12" t="n">
        <x:v>0</x:v>
      </x:c>
      <x:c r="D77" s="15" t="str">
        <x:v>DNP不装配；原理图排除PCB；排除BOM；PCB中无封装</x:v>
      </x:c>
      <x:c r="E77" s="9" t="str"/>
      <x:c r="F77" s="9" t="str"/>
      <x:c r="G77" s="9" t="str"/>
      <x:c r="H77" s="9" t="str">
        <x:v>Capacitor_SMD:C_0603_1608Metric</x:v>
      </x:c>
      <x:c r="I77" s="9" t="str">
        <x:v>Capacitor_SMD:C_0603_1608Metric</x:v>
      </x:c>
      <x:c r="J77" s="9" t="str"/>
      <x:c r="K77" s="9" t="str"/>
      <x:c r="L77" s="9" t="str">
        <x:v>/MCU_Core/WiFi_OTA/</x:v>
      </x:c>
      <x:c r="M77" s="9" t="str">
        <x:v>WiFi_OTA.kicad_sch</x:v>
      </x:c>
      <x:c r="N77" s="9" t="str"/>
      <x:c r="O77" s="9" t="str"/>
      <x:c r="P77" s="9" t="str"/>
    </x:row>
    <x:row r="78" ht="60" customHeight="1">
      <x:c r="A78" s="13" t="str">
        <x:v>CN1</x:v>
      </x:c>
      <x:c r="B78" s="13" t="str">
        <x:v>KF2EDGK-5.08-2P</x:v>
      </x:c>
      <x:c r="C78" s="14" t="n">
        <x:v>1</x:v>
      </x:c>
      <x:c r="D78" s="13" t="str">
        <x:v>装配/计入采购</x:v>
      </x:c>
      <x:c r="E78" s="13" t="str">
        <x:v>KF2EDGR-5.08-2P</x:v>
      </x:c>
      <x:c r="F78" s="13" t="str"/>
      <x:c r="G78" s="13" t="str">
        <x:v>Top</x:v>
      </x:c>
      <x:c r="H78" s="13" t="str">
        <x:v>kicad_api_lib:KF2EDGR-5.08-2P</x:v>
      </x:c>
      <x:c r="I78" s="13" t="str">
        <x:v>kicad_api_lib:KF2EDGR-5.08-2P</x:v>
      </x:c>
      <x:c r="J78" s="13" t="str"/>
      <x:c r="K78" s="13" t="str"/>
      <x:c r="L78" s="13" t="str">
        <x:v>/POWER/</x:v>
      </x:c>
      <x:c r="M78" s="13" t="str">
        <x:v>POWER.kicad_sch</x:v>
      </x:c>
      <x:c r="N78" s="13" t="str"/>
      <x:c r="O78" s="13" t="str">
        <x:v>5.08mm 2P pluggable terminal set: KF2EDGK cable plug + KF2EDGR right-angle PCB header; PCB footprint follows KEFA header drawing; verify purchased mating pair.</x:v>
      </x:c>
      <x:c r="P78" s="13" t="str">
        <x:v>品牌待补齐；嘉立创料号待匹配；华秋料号待匹配</x:v>
      </x:c>
    </x:row>
    <x:row r="79" ht="48" customHeight="1">
      <x:c r="A79" s="9" t="str">
        <x:v>CN2</x:v>
      </x:c>
      <x:c r="B79" s="9" t="str">
        <x:v>WJ15EDGRC-3.81-2P</x:v>
      </x:c>
      <x:c r="C79" s="12" t="n">
        <x:v>0</x:v>
      </x:c>
      <x:c r="D79" s="15" t="str">
        <x:v>DNP不装配；原理图排除PCB；排除BOM；PCB中无封装</x:v>
      </x:c>
      <x:c r="E79" s="9" t="str">
        <x:v>WJ15EDGRC-3.81-2P</x:v>
      </x:c>
      <x:c r="F79" s="9" t="str">
        <x:v>KANGNEX</x:v>
      </x:c>
      <x:c r="G79" s="9" t="str"/>
      <x:c r="H79" s="9" t="str">
        <x:v>kicad_api_lib:WJ15EDGRC-3.81-2P</x:v>
      </x:c>
      <x:c r="I79" s="9" t="str">
        <x:v>kicad_api_lib:WJ15EDGRC-3.81-2P</x:v>
      </x:c>
      <x:c r="J79" s="9" t="str"/>
      <x:c r="K79" s="9" t="str">
        <x:v>G4189957</x:v>
      </x:c>
      <x:c r="L79" s="9" t="str">
        <x:v>/CAN/</x:v>
      </x:c>
      <x:c r="M79" s="9" t="str">
        <x:v>CAN.kicad_sch</x:v>
      </x:c>
      <x:c r="N79" s="9" t="str"/>
      <x:c r="O79" s="9" t="str">
        <x:v>Plug and pull terminal board end/socket - closed 2Pin spacing: 3.81mm, 1 row of bent pins green</x:v>
      </x:c>
      <x:c r="P79" s="9" t="str"/>
    </x:row>
    <x:row r="80" ht="48" customHeight="1">
      <x:c r="A80" s="13" t="str">
        <x:v>CN3</x:v>
      </x:c>
      <x:c r="B80" s="13" t="str">
        <x:v>WJ15EDGRC-3.81-2P</x:v>
      </x:c>
      <x:c r="C80" s="14" t="n">
        <x:v>0</x:v>
      </x:c>
      <x:c r="D80" s="16" t="str">
        <x:v>DNP不装配；原理图排除PCB；排除BOM；PCB中无封装</x:v>
      </x:c>
      <x:c r="E80" s="13" t="str">
        <x:v>WJ15EDGRC-3.81-2P</x:v>
      </x:c>
      <x:c r="F80" s="13" t="str">
        <x:v>KANGNEX</x:v>
      </x:c>
      <x:c r="G80" s="13" t="str"/>
      <x:c r="H80" s="13" t="str">
        <x:v>kicad_api_lib:WJ15EDGRC-3.81-2P</x:v>
      </x:c>
      <x:c r="I80" s="13" t="str">
        <x:v>kicad_api_lib:WJ15EDGRC-3.81-2P</x:v>
      </x:c>
      <x:c r="J80" s="13" t="str"/>
      <x:c r="K80" s="13" t="str">
        <x:v>G4189957</x:v>
      </x:c>
      <x:c r="L80" s="13" t="str">
        <x:v>/RS232/</x:v>
      </x:c>
      <x:c r="M80" s="13" t="str">
        <x:v>RS232.kicad_sch</x:v>
      </x:c>
      <x:c r="N80" s="13" t="str"/>
      <x:c r="O80" s="13" t="str">
        <x:v>Plug and pull terminal board end/socket - closed 2Pin spacing: 3.81mm, 1 row of bent pins green</x:v>
      </x:c>
      <x:c r="P80" s="13" t="str"/>
    </x:row>
    <x:row r="81" ht="48" customHeight="1">
      <x:c r="A81" s="9" t="str">
        <x:v>CN4</x:v>
      </x:c>
      <x:c r="B81" s="9" t="str">
        <x:v>WJ15EDGRC-3.81-2P</x:v>
      </x:c>
      <x:c r="C81" s="12" t="n">
        <x:v>1</x:v>
      </x:c>
      <x:c r="D81" s="9" t="str">
        <x:v>装配/计入采购</x:v>
      </x:c>
      <x:c r="E81" s="9" t="str">
        <x:v>WJ15EDGRC-3.81-2P</x:v>
      </x:c>
      <x:c r="F81" s="9" t="str">
        <x:v>KANGNEX</x:v>
      </x:c>
      <x:c r="G81" s="9" t="str">
        <x:v>Top</x:v>
      </x:c>
      <x:c r="H81" s="9" t="str">
        <x:v>kicad_api_lib:WJ15EDGRC-3.81-2P</x:v>
      </x:c>
      <x:c r="I81" s="9" t="str">
        <x:v>kicad_api_lib:WJ15EDGRC-3.81-2P</x:v>
      </x:c>
      <x:c r="J81" s="9" t="str"/>
      <x:c r="K81" s="9" t="str">
        <x:v>G4189957</x:v>
      </x:c>
      <x:c r="L81" s="9" t="str">
        <x:v>/RS485/</x:v>
      </x:c>
      <x:c r="M81" s="9" t="str">
        <x:v>RS485.kicad_sch</x:v>
      </x:c>
      <x:c r="N81" s="9" t="str"/>
      <x:c r="O81" s="9" t="str">
        <x:v>Plug and pull terminal board end/socket - closed 2Pin spacing: 3.81mm, 1 row of bent pins green</x:v>
      </x:c>
      <x:c r="P81" s="9" t="str">
        <x:v>嘉立创料号待匹配</x:v>
      </x:c>
    </x:row>
    <x:row r="82" ht="48" customHeight="1">
      <x:c r="A82" s="13" t="str">
        <x:v>CN5</x:v>
      </x:c>
      <x:c r="B82" s="13" t="str">
        <x:v>KF15EDGRC3.81-6P</x:v>
      </x:c>
      <x:c r="C82" s="14" t="n">
        <x:v>1</x:v>
      </x:c>
      <x:c r="D82" s="13" t="str">
        <x:v>装配/计入采购</x:v>
      </x:c>
      <x:c r="E82" s="13" t="str">
        <x:v>KF15EDGRC3.81-6P</x:v>
      </x:c>
      <x:c r="F82" s="13" t="str">
        <x:v>KEFA</x:v>
      </x:c>
      <x:c r="G82" s="13" t="str">
        <x:v>Top</x:v>
      </x:c>
      <x:c r="H82" s="13" t="str">
        <x:v>kicad_api_lib:KF15EDGRC3.81-6P</x:v>
      </x:c>
      <x:c r="I82" s="13" t="str">
        <x:v>kicad_api_lib:KF15EDGRC3.81-6P</x:v>
      </x:c>
      <x:c r="J82" s="13" t="str"/>
      <x:c r="K82" s="13" t="str"/>
      <x:c r="L82" s="13" t="str">
        <x:v>/MCU_Core/Motor_Comm/</x:v>
      </x:c>
      <x:c r="M82" s="13" t="str">
        <x:v>Motor_Comm.kicad_sch</x:v>
      </x:c>
      <x:c r="N82" s="13" t="str"/>
      <x:c r="O82" s="13" t="str">
        <x:v>6P right-angle header, P=3.81mm; geometry from supplied DEGSON 15EDGRC drawing, KF equivalence unverified</x:v>
      </x:c>
      <x:c r="P82" s="13" t="str">
        <x:v>嘉立创料号待匹配；华秋料号待匹配</x:v>
      </x:c>
    </x:row>
    <x:row r="83" ht="48" customHeight="1">
      <x:c r="A83" s="9" t="str">
        <x:v>CN6</x:v>
      </x:c>
      <x:c r="B83" s="9" t="str">
        <x:v>KF15EDGRC3.81-6P</x:v>
      </x:c>
      <x:c r="C83" s="12" t="n">
        <x:v>1</x:v>
      </x:c>
      <x:c r="D83" s="9" t="str">
        <x:v>装配/计入采购</x:v>
      </x:c>
      <x:c r="E83" s="9" t="str">
        <x:v>KF15EDGRC3.81-6P</x:v>
      </x:c>
      <x:c r="F83" s="9" t="str">
        <x:v>KEFA</x:v>
      </x:c>
      <x:c r="G83" s="9" t="str">
        <x:v>Top</x:v>
      </x:c>
      <x:c r="H83" s="9" t="str">
        <x:v>kicad_api_lib:KF15EDGRC3.81-6P</x:v>
      </x:c>
      <x:c r="I83" s="9" t="str">
        <x:v>kicad_api_lib:KF15EDGRC3.81-6P</x:v>
      </x:c>
      <x:c r="J83" s="9" t="str"/>
      <x:c r="K83" s="9" t="str"/>
      <x:c r="L83" s="9" t="str">
        <x:v>/MCU_Core/Motor_Comm/</x:v>
      </x:c>
      <x:c r="M83" s="9" t="str">
        <x:v>Motor_Comm.kicad_sch</x:v>
      </x:c>
      <x:c r="N83" s="9" t="str"/>
      <x:c r="O83" s="9" t="str">
        <x:v>6P right-angle header, P=3.81mm; geometry from supplied DEGSON 15EDGRC drawing, KF equivalence unverified</x:v>
      </x:c>
      <x:c r="P83" s="9" t="str">
        <x:v>嘉立创料号待匹配；华秋料号待匹配</x:v>
      </x:c>
    </x:row>
    <x:row r="84" ht="48" customHeight="1">
      <x:c r="A84" s="13" t="str">
        <x:v>CN7</x:v>
      </x:c>
      <x:c r="B84" s="13" t="str">
        <x:v>KF15EDGRC3.81-6P</x:v>
      </x:c>
      <x:c r="C84" s="14" t="n">
        <x:v>1</x:v>
      </x:c>
      <x:c r="D84" s="13" t="str">
        <x:v>装配/计入采购</x:v>
      </x:c>
      <x:c r="E84" s="13" t="str">
        <x:v>KF15EDGRC3.81-6P</x:v>
      </x:c>
      <x:c r="F84" s="13" t="str">
        <x:v>KEFA</x:v>
      </x:c>
      <x:c r="G84" s="13" t="str">
        <x:v>Top</x:v>
      </x:c>
      <x:c r="H84" s="13" t="str">
        <x:v>kicad_api_lib:KF15EDGRC3.81-6P</x:v>
      </x:c>
      <x:c r="I84" s="13" t="str">
        <x:v>kicad_api_lib:KF15EDGRC3.81-6P</x:v>
      </x:c>
      <x:c r="J84" s="13" t="str"/>
      <x:c r="K84" s="13" t="str"/>
      <x:c r="L84" s="13" t="str">
        <x:v>/MCU_Core/Motor_Comm/</x:v>
      </x:c>
      <x:c r="M84" s="13" t="str">
        <x:v>Motor_Comm.kicad_sch</x:v>
      </x:c>
      <x:c r="N84" s="13" t="str"/>
      <x:c r="O84" s="13" t="str">
        <x:v>6P right-angle header, P=3.81mm; geometry from supplied DEGSON 15EDGRC drawing, KF equivalence unverified</x:v>
      </x:c>
      <x:c r="P84" s="13" t="str">
        <x:v>嘉立创料号待匹配；华秋料号待匹配</x:v>
      </x:c>
    </x:row>
    <x:row r="85" ht="48" customHeight="1">
      <x:c r="A85" s="9" t="str">
        <x:v>CN8</x:v>
      </x:c>
      <x:c r="B85" s="9" t="str">
        <x:v>KF15EDGRC3.81-6P</x:v>
      </x:c>
      <x:c r="C85" s="12" t="n">
        <x:v>1</x:v>
      </x:c>
      <x:c r="D85" s="9" t="str">
        <x:v>装配/计入采购</x:v>
      </x:c>
      <x:c r="E85" s="9" t="str">
        <x:v>KF15EDGRC3.81-6P</x:v>
      </x:c>
      <x:c r="F85" s="9" t="str">
        <x:v>KEFA</x:v>
      </x:c>
      <x:c r="G85" s="9" t="str">
        <x:v>Top</x:v>
      </x:c>
      <x:c r="H85" s="9" t="str">
        <x:v>kicad_api_lib:KF15EDGRC3.81-6P</x:v>
      </x:c>
      <x:c r="I85" s="9" t="str">
        <x:v>kicad_api_lib:KF15EDGRC3.81-6P</x:v>
      </x:c>
      <x:c r="J85" s="9" t="str"/>
      <x:c r="K85" s="9" t="str"/>
      <x:c r="L85" s="9" t="str">
        <x:v>/MCU_Core/Motor_Comm/</x:v>
      </x:c>
      <x:c r="M85" s="9" t="str">
        <x:v>Motor_Comm.kicad_sch</x:v>
      </x:c>
      <x:c r="N85" s="9" t="str"/>
      <x:c r="O85" s="9" t="str">
        <x:v>6P right-angle header, P=3.81mm; geometry from supplied DEGSON 15EDGRC drawing, KF equivalence unverified</x:v>
      </x:c>
      <x:c r="P85" s="9" t="str">
        <x:v>嘉立创料号待匹配；华秋料号待匹配</x:v>
      </x:c>
    </x:row>
    <x:row r="86" ht="48" customHeight="1">
      <x:c r="A86" s="13" t="str">
        <x:v>D1</x:v>
      </x:c>
      <x:c r="B86" s="13" t="str">
        <x:v>SMBJ24A</x:v>
      </x:c>
      <x:c r="C86" s="14" t="n">
        <x:v>1</x:v>
      </x:c>
      <x:c r="D86" s="13" t="str">
        <x:v>装配/计入采购</x:v>
      </x:c>
      <x:c r="E86" s="13" t="str">
        <x:v>SMBJ24A</x:v>
      </x:c>
      <x:c r="F86" s="13" t="str">
        <x:v>Littelfuse</x:v>
      </x:c>
      <x:c r="G86" s="13" t="str">
        <x:v>Top</x:v>
      </x:c>
      <x:c r="H86" s="13" t="str">
        <x:v>kicad_api_lib:SMBJ24A</x:v>
      </x:c>
      <x:c r="I86" s="13" t="str">
        <x:v>kicad_api_lib:SMBJ24A</x:v>
      </x:c>
      <x:c r="J86" s="13" t="str"/>
      <x:c r="K86" s="13" t="str">
        <x:v>G0035000</x:v>
      </x:c>
      <x:c r="L86" s="13" t="str">
        <x:v>/POWER/</x:v>
      </x:c>
      <x:c r="M86" s="13" t="str">
        <x:v>POWER.kicad_sch</x:v>
      </x:c>
      <x:c r="N86" s="13" t="str"/>
      <x:c r="O86" s="13" t="str">
        <x:v>TVS DIODE 24VWM 38.9VC DO214AA</x:v>
      </x:c>
      <x:c r="P86" s="13" t="str">
        <x:v>嘉立创料号待匹配</x:v>
      </x:c>
    </x:row>
    <x:row r="87" ht="48" customHeight="1">
      <x:c r="A87" s="9" t="str">
        <x:v>D2</x:v>
      </x:c>
      <x:c r="B87" s="9" t="str">
        <x:v>LED</x:v>
      </x:c>
      <x:c r="C87" s="12" t="n">
        <x:v>1</x:v>
      </x:c>
      <x:c r="D87" s="9" t="str">
        <x:v>装配/计入采购</x:v>
      </x:c>
      <x:c r="E87" s="9" t="str"/>
      <x:c r="F87" s="9" t="str"/>
      <x:c r="G87" s="9" t="str">
        <x:v>Top</x:v>
      </x:c>
      <x:c r="H87" s="9" t="str">
        <x:v>LED_SMD:LED_0603_1608Metric</x:v>
      </x:c>
      <x:c r="I87" s="9" t="str">
        <x:v>LED_SMD:LED_0603_1608Metric</x:v>
      </x:c>
      <x:c r="J87" s="9" t="str"/>
      <x:c r="K87" s="9" t="str"/>
      <x:c r="L87" s="9" t="str">
        <x:v>/POWER/</x:v>
      </x:c>
      <x:c r="M87" s="9" t="str">
        <x:v>POWER.kicad_sch</x:v>
      </x:c>
      <x:c r="N87" s="9" t="str"/>
      <x:c r="O87" s="9" t="str">
        <x:v>Light emitting diode</x:v>
      </x:c>
      <x:c r="P87" s="9" t="str">
        <x:v>MPN待补齐；型号/数值按原设计保留；品牌待补齐；嘉立创料号待匹配；华秋料号待匹配</x:v>
      </x:c>
    </x:row>
    <x:row r="88" ht="48" customHeight="1">
      <x:c r="A88" s="13" t="str">
        <x:v>D3</x:v>
      </x:c>
      <x:c r="B88" s="13" t="str">
        <x:v>LED</x:v>
      </x:c>
      <x:c r="C88" s="14" t="n">
        <x:v>1</x:v>
      </x:c>
      <x:c r="D88" s="13" t="str">
        <x:v>装配/计入采购</x:v>
      </x:c>
      <x:c r="E88" s="13" t="str"/>
      <x:c r="F88" s="13" t="str"/>
      <x:c r="G88" s="13" t="str">
        <x:v>Top</x:v>
      </x:c>
      <x:c r="H88" s="13" t="str">
        <x:v>LED_SMD:LED_0603_1608Metric</x:v>
      </x:c>
      <x:c r="I88" s="13" t="str">
        <x:v>LED_SMD:LED_0603_1608Metric</x:v>
      </x:c>
      <x:c r="J88" s="13" t="str"/>
      <x:c r="K88" s="13" t="str"/>
      <x:c r="L88" s="13" t="str">
        <x:v>/POWER/</x:v>
      </x:c>
      <x:c r="M88" s="13" t="str">
        <x:v>POWER.kicad_sch</x:v>
      </x:c>
      <x:c r="N88" s="13" t="str"/>
      <x:c r="O88" s="13" t="str">
        <x:v>Light emitting diode</x:v>
      </x:c>
      <x:c r="P88" s="13" t="str">
        <x:v>MPN待补齐；型号/数值按原设计保留；品牌待补齐；嘉立创料号待匹配；华秋料号待匹配</x:v>
      </x:c>
    </x:row>
    <x:row r="89" ht="48" customHeight="1">
      <x:c r="A89" s="9" t="str">
        <x:v>D4</x:v>
      </x:c>
      <x:c r="B89" s="9" t="str">
        <x:v>LED</x:v>
      </x:c>
      <x:c r="C89" s="12" t="n">
        <x:v>1</x:v>
      </x:c>
      <x:c r="D89" s="9" t="str">
        <x:v>装配/计入采购</x:v>
      </x:c>
      <x:c r="E89" s="9" t="str"/>
      <x:c r="F89" s="9" t="str"/>
      <x:c r="G89" s="9" t="str">
        <x:v>Top</x:v>
      </x:c>
      <x:c r="H89" s="9" t="str">
        <x:v>LED_SMD:LED_0603_1608Metric</x:v>
      </x:c>
      <x:c r="I89" s="9" t="str">
        <x:v>LED_SMD:LED_0603_1608Metric</x:v>
      </x:c>
      <x:c r="J89" s="9" t="str"/>
      <x:c r="K89" s="9" t="str"/>
      <x:c r="L89" s="9" t="str">
        <x:v>/POWER/</x:v>
      </x:c>
      <x:c r="M89" s="9" t="str">
        <x:v>POWER.kicad_sch</x:v>
      </x:c>
      <x:c r="N89" s="9" t="str"/>
      <x:c r="O89" s="9" t="str">
        <x:v>Light emitting diode</x:v>
      </x:c>
      <x:c r="P89" s="9" t="str">
        <x:v>MPN待补齐；型号/数值按原设计保留；品牌待补齐；嘉立创料号待匹配；华秋料号待匹配</x:v>
      </x:c>
    </x:row>
    <x:row r="90" ht="48" customHeight="1">
      <x:c r="A90" s="13" t="str">
        <x:v>D5</x:v>
      </x:c>
      <x:c r="B90" s="13" t="str">
        <x:v>SS34</x:v>
      </x:c>
      <x:c r="C90" s="14" t="n">
        <x:v>1</x:v>
      </x:c>
      <x:c r="D90" s="13" t="str">
        <x:v>装配/计入采购</x:v>
      </x:c>
      <x:c r="E90" s="13" t="str">
        <x:v>SS34</x:v>
      </x:c>
      <x:c r="F90" s="13" t="str">
        <x:v>ON Semiconductor</x:v>
      </x:c>
      <x:c r="G90" s="13" t="str">
        <x:v>Top</x:v>
      </x:c>
      <x:c r="H90" s="13" t="str">
        <x:v>Diode_SMD:D_SMA</x:v>
      </x:c>
      <x:c r="I90" s="13" t="str">
        <x:v>Diode_SMD:D_SMA</x:v>
      </x:c>
      <x:c r="J90" s="13" t="str"/>
      <x:c r="K90" s="13" t="str">
        <x:v>G3431748</x:v>
      </x:c>
      <x:c r="L90" s="13" t="str">
        <x:v>/POWER/</x:v>
      </x:c>
      <x:c r="M90" s="13" t="str">
        <x:v>POWER.kicad_sch</x:v>
      </x:c>
      <x:c r="N90" s="13" t="str"/>
      <x:c r="O90" s="13" t="str">
        <x:v>DIODE SCHOTTKY 40V 3A SMC</x:v>
      </x:c>
      <x:c r="P90" s="13" t="str">
        <x:v>嘉立创料号待匹配</x:v>
      </x:c>
    </x:row>
    <x:row r="91" ht="48" customHeight="1">
      <x:c r="A91" s="9" t="str">
        <x:v>D6</x:v>
      </x:c>
      <x:c r="B91" s="9" t="str">
        <x:v>MMBD1504A</x:v>
      </x:c>
      <x:c r="C91" s="12" t="n">
        <x:v>0</x:v>
      </x:c>
      <x:c r="D91" s="15" t="str">
        <x:v>DNP不装配；原理图排除PCB；排除BOM；PCB中无封装</x:v>
      </x:c>
      <x:c r="E91" s="9" t="str">
        <x:v>MMBD1504A</x:v>
      </x:c>
      <x:c r="F91" s="9" t="str">
        <x:v>JSCJ</x:v>
      </x:c>
      <x:c r="G91" s="9" t="str"/>
      <x:c r="H91" s="9" t="str">
        <x:v>kicad_api_lib:MMBD1504A</x:v>
      </x:c>
      <x:c r="I91" s="9" t="str">
        <x:v>kicad_api_lib:MMBD1504A</x:v>
      </x:c>
      <x:c r="J91" s="9" t="str"/>
      <x:c r="K91" s="9" t="str">
        <x:v>G6552209</x:v>
      </x:c>
      <x:c r="L91" s="9" t="str">
        <x:v>/POWER/</x:v>
      </x:c>
      <x:c r="M91" s="9" t="str">
        <x:v>POWER.kicad_sch</x:v>
      </x:c>
      <x:c r="N91" s="9" t="str"/>
      <x:c r="O91" s="9" t="str">
        <x:v>塑封二极管，低泄漏，高导电，共阴极，VR=200V，IO=200mA，PD=350mW</x:v>
      </x:c>
      <x:c r="P91" s="9" t="str"/>
    </x:row>
    <x:row r="92" ht="48" customHeight="1">
      <x:c r="A92" s="13" t="str">
        <x:v>D7</x:v>
      </x:c>
      <x:c r="B92" s="13" t="str">
        <x:v>BZT52C12</x:v>
      </x:c>
      <x:c r="C92" s="14" t="n">
        <x:v>0</x:v>
      </x:c>
      <x:c r="D92" s="16" t="str">
        <x:v>DNP不装配；原理图排除PCB；排除BOM；PCB中无封装</x:v>
      </x:c>
      <x:c r="E92" s="13" t="str">
        <x:v>BZT52C12</x:v>
      </x:c>
      <x:c r="F92" s="13" t="str">
        <x:v>LGE</x:v>
      </x:c>
      <x:c r="G92" s="13" t="str"/>
      <x:c r="H92" s="13" t="str">
        <x:v>kicad_api_lib:BZT52C12</x:v>
      </x:c>
      <x:c r="I92" s="13" t="str">
        <x:v>kicad_api_lib:BZT52C12</x:v>
      </x:c>
      <x:c r="J92" s="13" t="str"/>
      <x:c r="K92" s="13" t="str">
        <x:v>G5432001</x:v>
      </x:c>
      <x:c r="L92" s="13" t="str">
        <x:v>/POWER/</x:v>
      </x:c>
      <x:c r="M92" s="13" t="str">
        <x:v>POWER.kicad_sch</x:v>
      </x:c>
      <x:c r="N92" s="13" t="str"/>
      <x:c r="O92" s="13" t="str">
        <x:v>Zener Diodes Vz=12V 11.4V~12.7V Izt=5mA P=500mW SOD123</x:v>
      </x:c>
      <x:c r="P92" s="13" t="str"/>
    </x:row>
    <x:row r="93" ht="48" customHeight="1">
      <x:c r="A93" s="9" t="str">
        <x:v>D8</x:v>
      </x:c>
      <x:c r="B93" s="9" t="str">
        <x:v>BAT54CTA</x:v>
      </x:c>
      <x:c r="C93" s="12" t="n">
        <x:v>0</x:v>
      </x:c>
      <x:c r="D93" s="15" t="str">
        <x:v>DNP不装配；原理图排除PCB；排除BOM；PCB中无封装</x:v>
      </x:c>
      <x:c r="E93" s="9" t="str">
        <x:v>BAT54CTA</x:v>
      </x:c>
      <x:c r="F93" s="9" t="str">
        <x:v>Diodes</x:v>
      </x:c>
      <x:c r="G93" s="9" t="str"/>
      <x:c r="H93" s="9" t="str">
        <x:v>kicad_api_lib:BAT54CTA</x:v>
      </x:c>
      <x:c r="I93" s="9" t="str">
        <x:v>kicad_api_lib:BAT54CTA</x:v>
      </x:c>
      <x:c r="J93" s="9" t="str"/>
      <x:c r="K93" s="9" t="str">
        <x:v>G3529247</x:v>
      </x:c>
      <x:c r="L93" s="9" t="str">
        <x:v>/MCU_Core/</x:v>
      </x:c>
      <x:c r="M93" s="9" t="str">
        <x:v>GD32F303VET6.kicad_sch</x:v>
      </x:c>
      <x:c r="N93" s="9" t="str"/>
      <x:c r="O93" s="9" t="str">
        <x:v>DIODE ARRAY SCHOTTKY 30V SOT23-3</x:v>
      </x:c>
      <x:c r="P93" s="9" t="str"/>
    </x:row>
    <x:row r="94" ht="48" customHeight="1">
      <x:c r="A94" s="13" t="str">
        <x:v>D9</x:v>
      </x:c>
      <x:c r="B94" s="13" t="str">
        <x:v>ESDA6V1L</x:v>
      </x:c>
      <x:c r="C94" s="14" t="n">
        <x:v>0</x:v>
      </x:c>
      <x:c r="D94" s="16" t="str">
        <x:v>DNP不装配；原理图排除PCB；排除BOM；PCB中无封装</x:v>
      </x:c>
      <x:c r="E94" s="13" t="str">
        <x:v>ESDA6V1L</x:v>
      </x:c>
      <x:c r="F94" s="13" t="str">
        <x:v>TECH PUBLIC</x:v>
      </x:c>
      <x:c r="G94" s="13" t="str"/>
      <x:c r="H94" s="13" t="str">
        <x:v>kicad_api_lib:ESDA6V1L</x:v>
      </x:c>
      <x:c r="I94" s="13" t="str">
        <x:v>kicad_api_lib:ESDA6V1L</x:v>
      </x:c>
      <x:c r="J94" s="13" t="str"/>
      <x:c r="K94" s="13" t="str">
        <x:v>G4700211</x:v>
      </x:c>
      <x:c r="L94" s="13" t="str">
        <x:v>/CAN/</x:v>
      </x:c>
      <x:c r="M94" s="13" t="str">
        <x:v>CAN.kicad_sch</x:v>
      </x:c>
      <x:c r="N94" s="13" t="str"/>
      <x:c r="O94" s="13" t="str">
        <x:v>双通道TVS二极管，单向，VBR=6V，IR=0.1μA，Ppk=350W</x:v>
      </x:c>
      <x:c r="P94" s="13" t="str"/>
    </x:row>
    <x:row r="95" ht="48" customHeight="1">
      <x:c r="A95" s="9" t="str">
        <x:v>D10</x:v>
      </x:c>
      <x:c r="B95" s="9" t="str">
        <x:v>DIR_CMD_GREEN</x:v>
      </x:c>
      <x:c r="C95" s="12" t="n">
        <x:v>1</x:v>
      </x:c>
      <x:c r="D95" s="9" t="str">
        <x:v>装配/计入采购</x:v>
      </x:c>
      <x:c r="E95" s="9" t="str"/>
      <x:c r="F95" s="9" t="str"/>
      <x:c r="G95" s="9" t="str">
        <x:v>Top</x:v>
      </x:c>
      <x:c r="H95" s="9" t="str">
        <x:v>LED_SMD:LED_0603_1608Metric</x:v>
      </x:c>
      <x:c r="I95" s="9" t="str">
        <x:v>LED_SMD:LED_0603_1608Metric</x:v>
      </x:c>
      <x:c r="J95" s="9" t="str"/>
      <x:c r="K95" s="9" t="str"/>
      <x:c r="L95" s="9" t="str">
        <x:v>/MCU_Core/Motor_Comm/</x:v>
      </x:c>
      <x:c r="M95" s="9" t="str">
        <x:v>Motor_Comm.kicad_sch</x:v>
      </x:c>
      <x:c r="N95" s="9" t="str"/>
      <x:c r="O95" s="9" t="str"/>
      <x:c r="P95" s="9" t="str">
        <x:v>MPN待补齐；型号/数值按原设计保留；品牌待补齐；嘉立创料号待匹配；华秋料号待匹配</x:v>
      </x:c>
    </x:row>
    <x:row r="96" ht="48" customHeight="1">
      <x:c r="A96" s="13" t="str">
        <x:v>D11</x:v>
      </x:c>
      <x:c r="B96" s="13" t="str">
        <x:v>RELEASE_YELLOW</x:v>
      </x:c>
      <x:c r="C96" s="14" t="n">
        <x:v>1</x:v>
      </x:c>
      <x:c r="D96" s="13" t="str">
        <x:v>装配/计入采购</x:v>
      </x:c>
      <x:c r="E96" s="13" t="str"/>
      <x:c r="F96" s="13" t="str"/>
      <x:c r="G96" s="13" t="str">
        <x:v>Top</x:v>
      </x:c>
      <x:c r="H96" s="13" t="str">
        <x:v>LED_SMD:LED_0603_1608Metric</x:v>
      </x:c>
      <x:c r="I96" s="13" t="str">
        <x:v>LED_SMD:LED_0603_1608Metric</x:v>
      </x:c>
      <x:c r="J96" s="13" t="str"/>
      <x:c r="K96" s="13" t="str"/>
      <x:c r="L96" s="13" t="str">
        <x:v>/MCU_Core/Motor_Comm/</x:v>
      </x:c>
      <x:c r="M96" s="13" t="str">
        <x:v>Motor_Comm.kicad_sch</x:v>
      </x:c>
      <x:c r="N96" s="13" t="str"/>
      <x:c r="O96" s="13" t="str"/>
      <x:c r="P96" s="13" t="str">
        <x:v>MPN待补齐；型号/数值按原设计保留；品牌待补齐；嘉立创料号待匹配；华秋料号待匹配</x:v>
      </x:c>
    </x:row>
    <x:row r="97" ht="48" customHeight="1">
      <x:c r="A97" s="9" t="str">
        <x:v>D12</x:v>
      </x:c>
      <x:c r="B97" s="9" t="str">
        <x:v>DIR_CMD_GREEN</x:v>
      </x:c>
      <x:c r="C97" s="12" t="n">
        <x:v>1</x:v>
      </x:c>
      <x:c r="D97" s="9" t="str">
        <x:v>装配/计入采购</x:v>
      </x:c>
      <x:c r="E97" s="9" t="str"/>
      <x:c r="F97" s="9" t="str"/>
      <x:c r="G97" s="9" t="str">
        <x:v>Top</x:v>
      </x:c>
      <x:c r="H97" s="9" t="str">
        <x:v>LED_SMD:LED_0603_1608Metric</x:v>
      </x:c>
      <x:c r="I97" s="9" t="str">
        <x:v>LED_SMD:LED_0603_1608Metric</x:v>
      </x:c>
      <x:c r="J97" s="9" t="str"/>
      <x:c r="K97" s="9" t="str"/>
      <x:c r="L97" s="9" t="str">
        <x:v>/MCU_Core/Motor_Comm/</x:v>
      </x:c>
      <x:c r="M97" s="9" t="str">
        <x:v>Motor_Comm.kicad_sch</x:v>
      </x:c>
      <x:c r="N97" s="9" t="str"/>
      <x:c r="O97" s="9" t="str"/>
      <x:c r="P97" s="9" t="str">
        <x:v>MPN待补齐；型号/数值按原设计保留；品牌待补齐；嘉立创料号待匹配；华秋料号待匹配</x:v>
      </x:c>
    </x:row>
    <x:row r="98" ht="48" customHeight="1">
      <x:c r="A98" s="13" t="str">
        <x:v>D13</x:v>
      </x:c>
      <x:c r="B98" s="13" t="str">
        <x:v>RELEASE_YELLOW</x:v>
      </x:c>
      <x:c r="C98" s="14" t="n">
        <x:v>1</x:v>
      </x:c>
      <x:c r="D98" s="13" t="str">
        <x:v>装配/计入采购</x:v>
      </x:c>
      <x:c r="E98" s="13" t="str"/>
      <x:c r="F98" s="13" t="str"/>
      <x:c r="G98" s="13" t="str">
        <x:v>Top</x:v>
      </x:c>
      <x:c r="H98" s="13" t="str">
        <x:v>LED_SMD:LED_0603_1608Metric</x:v>
      </x:c>
      <x:c r="I98" s="13" t="str">
        <x:v>LED_SMD:LED_0603_1608Metric</x:v>
      </x:c>
      <x:c r="J98" s="13" t="str"/>
      <x:c r="K98" s="13" t="str"/>
      <x:c r="L98" s="13" t="str">
        <x:v>/MCU_Core/Motor_Comm/</x:v>
      </x:c>
      <x:c r="M98" s="13" t="str">
        <x:v>Motor_Comm.kicad_sch</x:v>
      </x:c>
      <x:c r="N98" s="13" t="str"/>
      <x:c r="O98" s="13" t="str"/>
      <x:c r="P98" s="13" t="str">
        <x:v>MPN待补齐；型号/数值按原设计保留；品牌待补齐；嘉立创料号待匹配；华秋料号待匹配</x:v>
      </x:c>
    </x:row>
    <x:row r="99" ht="48" customHeight="1">
      <x:c r="A99" s="9" t="str">
        <x:v>D14</x:v>
      </x:c>
      <x:c r="B99" s="9" t="str">
        <x:v>DIR_CMD_GREEN</x:v>
      </x:c>
      <x:c r="C99" s="12" t="n">
        <x:v>1</x:v>
      </x:c>
      <x:c r="D99" s="9" t="str">
        <x:v>装配/计入采购</x:v>
      </x:c>
      <x:c r="E99" s="9" t="str"/>
      <x:c r="F99" s="9" t="str"/>
      <x:c r="G99" s="9" t="str">
        <x:v>Top</x:v>
      </x:c>
      <x:c r="H99" s="9" t="str">
        <x:v>LED_SMD:LED_0603_1608Metric</x:v>
      </x:c>
      <x:c r="I99" s="9" t="str">
        <x:v>LED_SMD:LED_0603_1608Metric</x:v>
      </x:c>
      <x:c r="J99" s="9" t="str"/>
      <x:c r="K99" s="9" t="str"/>
      <x:c r="L99" s="9" t="str">
        <x:v>/MCU_Core/Motor_Comm/</x:v>
      </x:c>
      <x:c r="M99" s="9" t="str">
        <x:v>Motor_Comm.kicad_sch</x:v>
      </x:c>
      <x:c r="N99" s="9" t="str"/>
      <x:c r="O99" s="9" t="str"/>
      <x:c r="P99" s="9" t="str">
        <x:v>MPN待补齐；型号/数值按原设计保留；品牌待补齐；嘉立创料号待匹配；华秋料号待匹配</x:v>
      </x:c>
    </x:row>
    <x:row r="100" ht="48" customHeight="1">
      <x:c r="A100" s="13" t="str">
        <x:v>D15</x:v>
      </x:c>
      <x:c r="B100" s="13" t="str">
        <x:v>RELEASE_YELLOW</x:v>
      </x:c>
      <x:c r="C100" s="14" t="n">
        <x:v>1</x:v>
      </x:c>
      <x:c r="D100" s="13" t="str">
        <x:v>装配/计入采购</x:v>
      </x:c>
      <x:c r="E100" s="13" t="str"/>
      <x:c r="F100" s="13" t="str"/>
      <x:c r="G100" s="13" t="str">
        <x:v>Top</x:v>
      </x:c>
      <x:c r="H100" s="13" t="str">
        <x:v>LED_SMD:LED_0603_1608Metric</x:v>
      </x:c>
      <x:c r="I100" s="13" t="str">
        <x:v>LED_SMD:LED_0603_1608Metric</x:v>
      </x:c>
      <x:c r="J100" s="13" t="str"/>
      <x:c r="K100" s="13" t="str"/>
      <x:c r="L100" s="13" t="str">
        <x:v>/MCU_Core/Motor_Comm/</x:v>
      </x:c>
      <x:c r="M100" s="13" t="str">
        <x:v>Motor_Comm.kicad_sch</x:v>
      </x:c>
      <x:c r="N100" s="13" t="str"/>
      <x:c r="O100" s="13" t="str"/>
      <x:c r="P100" s="13" t="str">
        <x:v>MPN待补齐；型号/数值按原设计保留；品牌待补齐；嘉立创料号待匹配；华秋料号待匹配</x:v>
      </x:c>
    </x:row>
    <x:row r="101" ht="48" customHeight="1">
      <x:c r="A101" s="9" t="str">
        <x:v>D16</x:v>
      </x:c>
      <x:c r="B101" s="9" t="str">
        <x:v>DIR_CMD_GREEN</x:v>
      </x:c>
      <x:c r="C101" s="12" t="n">
        <x:v>1</x:v>
      </x:c>
      <x:c r="D101" s="9" t="str">
        <x:v>装配/计入采购</x:v>
      </x:c>
      <x:c r="E101" s="9" t="str"/>
      <x:c r="F101" s="9" t="str"/>
      <x:c r="G101" s="9" t="str">
        <x:v>Top</x:v>
      </x:c>
      <x:c r="H101" s="9" t="str">
        <x:v>LED_SMD:LED_0603_1608Metric</x:v>
      </x:c>
      <x:c r="I101" s="9" t="str">
        <x:v>LED_SMD:LED_0603_1608Metric</x:v>
      </x:c>
      <x:c r="J101" s="9" t="str"/>
      <x:c r="K101" s="9" t="str"/>
      <x:c r="L101" s="9" t="str">
        <x:v>/MCU_Core/Motor_Comm/</x:v>
      </x:c>
      <x:c r="M101" s="9" t="str">
        <x:v>Motor_Comm.kicad_sch</x:v>
      </x:c>
      <x:c r="N101" s="9" t="str"/>
      <x:c r="O101" s="9" t="str"/>
      <x:c r="P101" s="9" t="str">
        <x:v>MPN待补齐；型号/数值按原设计保留；品牌待补齐；嘉立创料号待匹配；华秋料号待匹配</x:v>
      </x:c>
    </x:row>
    <x:row r="102" ht="48" customHeight="1">
      <x:c r="A102" s="13" t="str">
        <x:v>D17</x:v>
      </x:c>
      <x:c r="B102" s="13" t="str">
        <x:v>RELEASE_YELLOW</x:v>
      </x:c>
      <x:c r="C102" s="14" t="n">
        <x:v>1</x:v>
      </x:c>
      <x:c r="D102" s="13" t="str">
        <x:v>装配/计入采购</x:v>
      </x:c>
      <x:c r="E102" s="13" t="str"/>
      <x:c r="F102" s="13" t="str"/>
      <x:c r="G102" s="13" t="str">
        <x:v>Top</x:v>
      </x:c>
      <x:c r="H102" s="13" t="str">
        <x:v>LED_SMD:LED_0603_1608Metric</x:v>
      </x:c>
      <x:c r="I102" s="13" t="str">
        <x:v>LED_SMD:LED_0603_1608Metric</x:v>
      </x:c>
      <x:c r="J102" s="13" t="str"/>
      <x:c r="K102" s="13" t="str"/>
      <x:c r="L102" s="13" t="str">
        <x:v>/MCU_Core/Motor_Comm/</x:v>
      </x:c>
      <x:c r="M102" s="13" t="str">
        <x:v>Motor_Comm.kicad_sch</x:v>
      </x:c>
      <x:c r="N102" s="13" t="str"/>
      <x:c r="O102" s="13" t="str"/>
      <x:c r="P102" s="13" t="str">
        <x:v>MPN待补齐；型号/数值按原设计保留；品牌待补齐；嘉立创料号待匹配；华秋料号待匹配</x:v>
      </x:c>
    </x:row>
    <x:row r="103" ht="48" customHeight="1">
      <x:c r="A103" s="9" t="str">
        <x:v>D18</x:v>
      </x:c>
      <x:c r="B103" s="9" t="str">
        <x:v>KLXES15AAA1</x:v>
      </x:c>
      <x:c r="C103" s="12" t="n">
        <x:v>1</x:v>
      </x:c>
      <x:c r="D103" s="9" t="str">
        <x:v>装配/计入采购</x:v>
      </x:c>
      <x:c r="E103" s="9" t="str">
        <x:v>KLXES15AAA1</x:v>
      </x:c>
      <x:c r="F103" s="9" t="str">
        <x:v>KUU</x:v>
      </x:c>
      <x:c r="G103" s="9" t="str">
        <x:v>Top</x:v>
      </x:c>
      <x:c r="H103" s="9" t="str">
        <x:v>kicad_api_lib:KLXES15AAA1</x:v>
      </x:c>
      <x:c r="I103" s="9" t="str">
        <x:v>kicad_api_lib:KLXES15AAA1</x:v>
      </x:c>
      <x:c r="J103" s="9" t="str"/>
      <x:c r="K103" s="9" t="str"/>
      <x:c r="L103" s="9" t="str">
        <x:v>/MCU_Core/USB_TTL_CH340/</x:v>
      </x:c>
      <x:c r="M103" s="9" t="str">
        <x:v>TTL_CH340.kicad_sch</x:v>
      </x:c>
      <x:c r="N103" s="9" t="str"/>
      <x:c r="O103" s="9" t="str">
        <x:v>ESD静电保护管</x:v>
      </x:c>
      <x:c r="P103" s="9" t="str">
        <x:v>嘉立创料号待匹配；华秋料号待匹配</x:v>
      </x:c>
    </x:row>
    <x:row r="104" ht="48" customHeight="1">
      <x:c r="A104" s="13" t="str">
        <x:v>D19</x:v>
      </x:c>
      <x:c r="B104" s="13" t="str">
        <x:v>KLXES15AAA1</x:v>
      </x:c>
      <x:c r="C104" s="14" t="n">
        <x:v>1</x:v>
      </x:c>
      <x:c r="D104" s="13" t="str">
        <x:v>装配/计入采购</x:v>
      </x:c>
      <x:c r="E104" s="13" t="str">
        <x:v>KLXES15AAA1</x:v>
      </x:c>
      <x:c r="F104" s="13" t="str">
        <x:v>KUU</x:v>
      </x:c>
      <x:c r="G104" s="13" t="str">
        <x:v>Top</x:v>
      </x:c>
      <x:c r="H104" s="13" t="str">
        <x:v>kicad_api_lib:KLXES15AAA1</x:v>
      </x:c>
      <x:c r="I104" s="13" t="str">
        <x:v>kicad_api_lib:KLXES15AAA1</x:v>
      </x:c>
      <x:c r="J104" s="13" t="str"/>
      <x:c r="K104" s="13" t="str"/>
      <x:c r="L104" s="13" t="str">
        <x:v>/MCU_Core/USB_TTL_CH340/</x:v>
      </x:c>
      <x:c r="M104" s="13" t="str">
        <x:v>TTL_CH340.kicad_sch</x:v>
      </x:c>
      <x:c r="N104" s="13" t="str"/>
      <x:c r="O104" s="13" t="str">
        <x:v>ESD静电保护管</x:v>
      </x:c>
      <x:c r="P104" s="13" t="str">
        <x:v>嘉立创料号待匹配；华秋料号待匹配</x:v>
      </x:c>
    </x:row>
    <x:row r="105" ht="48" customHeight="1">
      <x:c r="A105" s="9" t="str">
        <x:v>D20</x:v>
      </x:c>
      <x:c r="B105" s="9" t="str">
        <x:v>PRTR5V0U2X</x:v>
      </x:c>
      <x:c r="C105" s="12" t="n">
        <x:v>1</x:v>
      </x:c>
      <x:c r="D105" s="9" t="str">
        <x:v>装配/计入采购</x:v>
      </x:c>
      <x:c r="E105" s="9" t="str">
        <x:v>PRTR5V0U2X</x:v>
      </x:c>
      <x:c r="F105" s="9" t="str">
        <x:v>Nexperia</x:v>
      </x:c>
      <x:c r="G105" s="9" t="str">
        <x:v>Top</x:v>
      </x:c>
      <x:c r="H105" s="9" t="str">
        <x:v>kicad_api_lib:PRTR5V0U2X</x:v>
      </x:c>
      <x:c r="I105" s="9" t="str">
        <x:v>kicad_api_lib:PRTR5V0U2X</x:v>
      </x:c>
      <x:c r="J105" s="9" t="str"/>
      <x:c r="K105" s="9" t="str">
        <x:v>G4684805</x:v>
      </x:c>
      <x:c r="L105" s="9" t="str">
        <x:v>/MCU_Core/USB_TTL_CH340/</x:v>
      </x:c>
      <x:c r="M105" s="9" t="str">
        <x:v>TTL_CH340.kicad_sch</x:v>
      </x:c>
      <x:c r="N105" s="9" t="str"/>
      <x:c r="O105" s="9" t="str"/>
      <x:c r="P105" s="9" t="str">
        <x:v>嘉立创料号待匹配</x:v>
      </x:c>
    </x:row>
    <x:row r="106" ht="48" customHeight="1">
      <x:c r="A106" s="13" t="str">
        <x:v>D21</x:v>
      </x:c>
      <x:c r="B106" s="13" t="str">
        <x:v>STATUS_GREEN</x:v>
      </x:c>
      <x:c r="C106" s="14" t="n">
        <x:v>1</x:v>
      </x:c>
      <x:c r="D106" s="13" t="str">
        <x:v>装配/计入采购</x:v>
      </x:c>
      <x:c r="E106" s="13" t="str"/>
      <x:c r="F106" s="13" t="str"/>
      <x:c r="G106" s="13" t="str">
        <x:v>Top</x:v>
      </x:c>
      <x:c r="H106" s="13" t="str">
        <x:v>LED_SMD:LED_0603_1608Metric</x:v>
      </x:c>
      <x:c r="I106" s="13" t="str">
        <x:v>LED_SMD:LED_0603_1608Metric</x:v>
      </x:c>
      <x:c r="J106" s="13" t="str"/>
      <x:c r="K106" s="13" t="str"/>
      <x:c r="L106" s="13" t="str">
        <x:v>/MCU_Core/Motor_Comm/</x:v>
      </x:c>
      <x:c r="M106" s="13" t="str">
        <x:v>Motor_Comm.kicad_sch</x:v>
      </x:c>
      <x:c r="N106" s="13" t="str"/>
      <x:c r="O106" s="13" t="str"/>
      <x:c r="P106" s="13" t="str">
        <x:v>MPN待补齐；型号/数值按原设计保留；品牌待补齐；嘉立创料号待匹配；华秋料号待匹配</x:v>
      </x:c>
    </x:row>
    <x:row r="107" ht="48" customHeight="1">
      <x:c r="A107" s="9" t="str">
        <x:v>FB1</x:v>
      </x:c>
      <x:c r="B107" s="9" t="str">
        <x:v>BLM18AG601SN1D</x:v>
      </x:c>
      <x:c r="C107" s="12" t="n">
        <x:v>0</x:v>
      </x:c>
      <x:c r="D107" s="15" t="str">
        <x:v>DNP不装配；原理图排除PCB；排除BOM；PCB中无封装</x:v>
      </x:c>
      <x:c r="E107" s="9" t="str">
        <x:v>BLM18AG601SN1D</x:v>
      </x:c>
      <x:c r="F107" s="9" t="str">
        <x:v>Murata</x:v>
      </x:c>
      <x:c r="G107" s="9" t="str"/>
      <x:c r="H107" s="9" t="str">
        <x:v>kicad_api_lib:BLM18AG601SN1D</x:v>
      </x:c>
      <x:c r="I107" s="9" t="str">
        <x:v>kicad_api_lib:BLM18AG601SN1D</x:v>
      </x:c>
      <x:c r="J107" s="9" t="str"/>
      <x:c r="K107" s="9" t="str">
        <x:v>G0028416</x:v>
      </x:c>
      <x:c r="L107" s="9" t="str">
        <x:v>/RS232/</x:v>
      </x:c>
      <x:c r="M107" s="9" t="str">
        <x:v>RS232.kicad_sch</x:v>
      </x:c>
      <x:c r="N107" s="9" t="str"/>
      <x:c r="O107" s="9" t="str">
        <x:v>FERRITE CHIP 600 OHM 500MA 0603</x:v>
      </x:c>
      <x:c r="P107" s="9" t="str"/>
    </x:row>
    <x:row r="108" ht="48" customHeight="1">
      <x:c r="A108" s="13" t="str">
        <x:v>FB2</x:v>
      </x:c>
      <x:c r="B108" s="13" t="str">
        <x:v>UPZ1608E101-3R0TF</x:v>
      </x:c>
      <x:c r="C108" s="14" t="n">
        <x:v>1</x:v>
      </x:c>
      <x:c r="D108" s="13" t="str">
        <x:v>装配/计入采购</x:v>
      </x:c>
      <x:c r="E108" s="13" t="str">
        <x:v>UPZ1608E101-3R0TF</x:v>
      </x:c>
      <x:c r="F108" s="13" t="str">
        <x:v>Sunlord Electronics</x:v>
      </x:c>
      <x:c r="G108" s="13" t="str">
        <x:v>Top</x:v>
      </x:c>
      <x:c r="H108" s="13" t="str">
        <x:v>kicad_api_lib:UPZ1608E101-3R0TF</x:v>
      </x:c>
      <x:c r="I108" s="13" t="str">
        <x:v>kicad_api_lib:UPZ1608E101-3R0TF</x:v>
      </x:c>
      <x:c r="J108" s="13" t="str"/>
      <x:c r="K108" s="13" t="str">
        <x:v>G3320338</x:v>
      </x:c>
      <x:c r="L108" s="13" t="str">
        <x:v>/MCU_Core/USB_TTL_CH340/</x:v>
      </x:c>
      <x:c r="M108" s="13" t="str">
        <x:v>TTL_CH340.kicad_sch</x:v>
      </x:c>
      <x:c r="N108" s="13" t="str"/>
      <x:c r="O108" s="13" t="str">
        <x:v>多层片式铁氧体磁珠，100MHz，100Ω，±25%</x:v>
      </x:c>
      <x:c r="P108" s="13" t="str">
        <x:v>嘉立创料号待匹配</x:v>
      </x:c>
    </x:row>
    <x:row r="109" ht="48" customHeight="1">
      <x:c r="A109" s="9" t="str">
        <x:v>H1</x:v>
      </x:c>
      <x:c r="B109" s="9" t="str">
        <x:v>MountingHole_Pad</x:v>
      </x:c>
      <x:c r="C109" s="12" t="n">
        <x:v>0</x:v>
      </x:c>
      <x:c r="D109" s="15" t="str">
        <x:v>排除BOM；板上结构/无需采购</x:v>
      </x:c>
      <x:c r="E109" s="9" t="str"/>
      <x:c r="F109" s="9" t="str"/>
      <x:c r="G109" s="9" t="str">
        <x:v>Top</x:v>
      </x:c>
      <x:c r="H109" s="9" t="str">
        <x:v>MountingHole:MountingHole_3.2mm_M3_ISO7380_Pad</x:v>
      </x:c>
      <x:c r="I109" s="9" t="str">
        <x:v>MountingHole:MountingHole_3.2mm_M3_ISO7380_Pad</x:v>
      </x:c>
      <x:c r="J109" s="9" t="str"/>
      <x:c r="K109" s="9" t="str"/>
      <x:c r="L109" s="9" t="str">
        <x:v>/POWER/</x:v>
      </x:c>
      <x:c r="M109" s="9" t="str">
        <x:v>POWER.kicad_sch</x:v>
      </x:c>
      <x:c r="N109" s="9" t="str"/>
      <x:c r="O109" s="9" t="str">
        <x:v>Mounting Hole with connection</x:v>
      </x:c>
      <x:c r="P109" s="9" t="str"/>
    </x:row>
    <x:row r="110" ht="48" customHeight="1">
      <x:c r="A110" s="13" t="str">
        <x:v>H2</x:v>
      </x:c>
      <x:c r="B110" s="13" t="str">
        <x:v>MountingHole_Pad</x:v>
      </x:c>
      <x:c r="C110" s="14" t="n">
        <x:v>0</x:v>
      </x:c>
      <x:c r="D110" s="16" t="str">
        <x:v>排除BOM；板上结构/无需采购</x:v>
      </x:c>
      <x:c r="E110" s="13" t="str"/>
      <x:c r="F110" s="13" t="str"/>
      <x:c r="G110" s="13" t="str">
        <x:v>Top</x:v>
      </x:c>
      <x:c r="H110" s="13" t="str">
        <x:v>MountingHole:MountingHole_3.2mm_M3_ISO7380_Pad</x:v>
      </x:c>
      <x:c r="I110" s="13" t="str">
        <x:v>MountingHole:MountingHole_3.2mm_M3_ISO7380_Pad</x:v>
      </x:c>
      <x:c r="J110" s="13" t="str"/>
      <x:c r="K110" s="13" t="str"/>
      <x:c r="L110" s="13" t="str">
        <x:v>/POWER/</x:v>
      </x:c>
      <x:c r="M110" s="13" t="str">
        <x:v>POWER.kicad_sch</x:v>
      </x:c>
      <x:c r="N110" s="13" t="str"/>
      <x:c r="O110" s="13" t="str">
        <x:v>Mounting Hole with connection</x:v>
      </x:c>
      <x:c r="P110" s="13" t="str"/>
    </x:row>
    <x:row r="111" ht="48" customHeight="1">
      <x:c r="A111" s="9" t="str">
        <x:v>H3</x:v>
      </x:c>
      <x:c r="B111" s="9" t="str">
        <x:v>MountingHole_Pad</x:v>
      </x:c>
      <x:c r="C111" s="12" t="n">
        <x:v>0</x:v>
      </x:c>
      <x:c r="D111" s="15" t="str">
        <x:v>排除BOM；板上结构/无需采购</x:v>
      </x:c>
      <x:c r="E111" s="9" t="str"/>
      <x:c r="F111" s="9" t="str"/>
      <x:c r="G111" s="9" t="str">
        <x:v>Top</x:v>
      </x:c>
      <x:c r="H111" s="9" t="str">
        <x:v>MountingHole:MountingHole_3.2mm_M3_ISO7380_Pad</x:v>
      </x:c>
      <x:c r="I111" s="9" t="str">
        <x:v>MountingHole:MountingHole_3.2mm_M3_ISO7380_Pad</x:v>
      </x:c>
      <x:c r="J111" s="9" t="str"/>
      <x:c r="K111" s="9" t="str"/>
      <x:c r="L111" s="9" t="str">
        <x:v>/POWER/</x:v>
      </x:c>
      <x:c r="M111" s="9" t="str">
        <x:v>POWER.kicad_sch</x:v>
      </x:c>
      <x:c r="N111" s="9" t="str"/>
      <x:c r="O111" s="9" t="str">
        <x:v>Mounting Hole with connection</x:v>
      </x:c>
      <x:c r="P111" s="9" t="str"/>
    </x:row>
    <x:row r="112" ht="48" customHeight="1">
      <x:c r="A112" s="13" t="str">
        <x:v>H4</x:v>
      </x:c>
      <x:c r="B112" s="13" t="str">
        <x:v>MountingHole_Pad</x:v>
      </x:c>
      <x:c r="C112" s="14" t="n">
        <x:v>0</x:v>
      </x:c>
      <x:c r="D112" s="16" t="str">
        <x:v>排除BOM；板上结构/无需采购</x:v>
      </x:c>
      <x:c r="E112" s="13" t="str"/>
      <x:c r="F112" s="13" t="str"/>
      <x:c r="G112" s="13" t="str">
        <x:v>Top</x:v>
      </x:c>
      <x:c r="H112" s="13" t="str">
        <x:v>MountingHole:MountingHole_3.2mm_M3_ISO7380_Pad</x:v>
      </x:c>
      <x:c r="I112" s="13" t="str">
        <x:v>MountingHole:MountingHole_3.2mm_M3_ISO7380_Pad</x:v>
      </x:c>
      <x:c r="J112" s="13" t="str"/>
      <x:c r="K112" s="13" t="str"/>
      <x:c r="L112" s="13" t="str">
        <x:v>/POWER/</x:v>
      </x:c>
      <x:c r="M112" s="13" t="str">
        <x:v>POWER.kicad_sch</x:v>
      </x:c>
      <x:c r="N112" s="13" t="str"/>
      <x:c r="O112" s="13" t="str">
        <x:v>Mounting Hole with connection</x:v>
      </x:c>
      <x:c r="P112" s="13" t="str"/>
    </x:row>
    <x:row r="113" ht="48" customHeight="1">
      <x:c r="A113" s="9" t="str">
        <x:v>H5</x:v>
      </x:c>
      <x:c r="B113" s="9" t="str">
        <x:v>X9254WR-04-N0SN</x:v>
      </x:c>
      <x:c r="C113" s="12" t="n">
        <x:v>1</x:v>
      </x:c>
      <x:c r="D113" s="9" t="str">
        <x:v>装配/计入采购</x:v>
      </x:c>
      <x:c r="E113" s="9" t="str">
        <x:v>X9254WR-04-N0SN</x:v>
      </x:c>
      <x:c r="F113" s="9" t="str">
        <x:v>XKB</x:v>
      </x:c>
      <x:c r="G113" s="9" t="str">
        <x:v>Top</x:v>
      </x:c>
      <x:c r="H113" s="9" t="str">
        <x:v>kicad_api_lib:X9254WR-04-N0SN</x:v>
      </x:c>
      <x:c r="I113" s="9" t="str">
        <x:v>kicad_api_lib:X9254WR-04-N0SN</x:v>
      </x:c>
      <x:c r="J113" s="9" t="str"/>
      <x:c r="K113" s="9" t="str">
        <x:v>G12091925</x:v>
      </x:c>
      <x:c r="L113" s="9" t="str">
        <x:v>/MCU_Core/</x:v>
      </x:c>
      <x:c r="M113" s="9" t="str">
        <x:v>GD32F303VET6.kicad_sch</x:v>
      </x:c>
      <x:c r="N113" s="9" t="str"/>
      <x:c r="O113" s="9" t="str">
        <x:v>2.54mm线对线连接器(AMP 2.54)刺破,针座,90度,04P</x:v>
      </x:c>
      <x:c r="P113" s="9" t="str">
        <x:v>嘉立创料号待匹配</x:v>
      </x:c>
    </x:row>
    <x:row r="114" ht="48" customHeight="1">
      <x:c r="A114" s="13" t="str">
        <x:v>H6</x:v>
      </x:c>
      <x:c r="B114" s="13" t="str">
        <x:v>KF2EDGRM-3.81-4P</x:v>
      </x:c>
      <x:c r="C114" s="14" t="n">
        <x:v>0</x:v>
      </x:c>
      <x:c r="D114" s="16" t="str">
        <x:v>DNP不装配；原理图排除PCB；排除BOM；PCB中无封装</x:v>
      </x:c>
      <x:c r="E114" s="13" t="str">
        <x:v>KF2EDGRM-3.81-4P</x:v>
      </x:c>
      <x:c r="F114" s="13" t="str">
        <x:v>KEFA</x:v>
      </x:c>
      <x:c r="G114" s="13" t="str"/>
      <x:c r="H114" s="13" t="str">
        <x:v>kicad_api_lib:KF2EDGRM-3.81-4P</x:v>
      </x:c>
      <x:c r="I114" s="13" t="str">
        <x:v>kicad_api_lib:KF2EDGRM-3.81-4P</x:v>
      </x:c>
      <x:c r="J114" s="13" t="str"/>
      <x:c r="K114" s="13" t="str">
        <x:v>G4613410</x:v>
      </x:c>
      <x:c r="L114" s="13" t="str">
        <x:v>/MCU_Core/Motor_Comm/</x:v>
      </x:c>
      <x:c r="M114" s="13" t="str">
        <x:v>Motor_Comm.kicad_sch</x:v>
      </x:c>
      <x:c r="N114" s="13" t="str"/>
      <x:c r="O114" s="13" t="str">
        <x:v>Plug in terminal 4Pin spacing: 3.81mm, 1 row of bend plug</x:v>
      </x:c>
      <x:c r="P114" s="13" t="str"/>
    </x:row>
    <x:row r="115" ht="48" customHeight="1">
      <x:c r="A115" s="9" t="str">
        <x:v>H7</x:v>
      </x:c>
      <x:c r="B115" s="9" t="str">
        <x:v>KF2EDGRM-3.81-4P</x:v>
      </x:c>
      <x:c r="C115" s="12" t="n">
        <x:v>0</x:v>
      </x:c>
      <x:c r="D115" s="15" t="str">
        <x:v>DNP不装配；原理图排除PCB；排除BOM；PCB中无封装</x:v>
      </x:c>
      <x:c r="E115" s="9" t="str">
        <x:v>KF2EDGRM-3.81-4P</x:v>
      </x:c>
      <x:c r="F115" s="9" t="str">
        <x:v>KEFA</x:v>
      </x:c>
      <x:c r="G115" s="9" t="str"/>
      <x:c r="H115" s="9" t="str">
        <x:v>kicad_api_lib:KF2EDGRM-3.81-4P</x:v>
      </x:c>
      <x:c r="I115" s="9" t="str">
        <x:v>kicad_api_lib:KF2EDGRM-3.81-4P</x:v>
      </x:c>
      <x:c r="J115" s="9" t="str"/>
      <x:c r="K115" s="9" t="str">
        <x:v>G4613410</x:v>
      </x:c>
      <x:c r="L115" s="9" t="str">
        <x:v>/MCU_Core/Motor_Comm/</x:v>
      </x:c>
      <x:c r="M115" s="9" t="str">
        <x:v>Motor_Comm.kicad_sch</x:v>
      </x:c>
      <x:c r="N115" s="9" t="str"/>
      <x:c r="O115" s="9" t="str">
        <x:v>Plug in terminal 4Pin spacing: 3.81mm, 1 row of bend plug</x:v>
      </x:c>
      <x:c r="P115" s="9" t="str"/>
    </x:row>
    <x:row r="116" ht="48" customHeight="1">
      <x:c r="A116" s="13" t="str">
        <x:v>H8</x:v>
      </x:c>
      <x:c r="B116" s="13" t="str">
        <x:v>KF2EDGRM-3.81-4P</x:v>
      </x:c>
      <x:c r="C116" s="14" t="n">
        <x:v>0</x:v>
      </x:c>
      <x:c r="D116" s="16" t="str">
        <x:v>DNP不装配；原理图排除PCB；排除BOM；PCB中无封装</x:v>
      </x:c>
      <x:c r="E116" s="13" t="str">
        <x:v>KF2EDGRM-3.81-4P</x:v>
      </x:c>
      <x:c r="F116" s="13" t="str">
        <x:v>KEFA</x:v>
      </x:c>
      <x:c r="G116" s="13" t="str"/>
      <x:c r="H116" s="13" t="str">
        <x:v>kicad_api_lib:KF2EDGRM-3.81-4P</x:v>
      </x:c>
      <x:c r="I116" s="13" t="str">
        <x:v>kicad_api_lib:KF2EDGRM-3.81-4P</x:v>
      </x:c>
      <x:c r="J116" s="13" t="str"/>
      <x:c r="K116" s="13" t="str">
        <x:v>G4613410</x:v>
      </x:c>
      <x:c r="L116" s="13" t="str">
        <x:v>/MCU_Core/Motor_Comm/</x:v>
      </x:c>
      <x:c r="M116" s="13" t="str">
        <x:v>Motor_Comm.kicad_sch</x:v>
      </x:c>
      <x:c r="N116" s="13" t="str"/>
      <x:c r="O116" s="13" t="str">
        <x:v>Plug in terminal 4Pin spacing: 3.81mm, 1 row of bend plug</x:v>
      </x:c>
      <x:c r="P116" s="13" t="str"/>
    </x:row>
    <x:row r="117" ht="48" customHeight="1">
      <x:c r="A117" s="9" t="str">
        <x:v>H9</x:v>
      </x:c>
      <x:c r="B117" s="9" t="str">
        <x:v>KF2EDGRM-3.81-4P</x:v>
      </x:c>
      <x:c r="C117" s="12" t="n">
        <x:v>0</x:v>
      </x:c>
      <x:c r="D117" s="15" t="str">
        <x:v>DNP不装配；原理图排除PCB；排除BOM；PCB中无封装</x:v>
      </x:c>
      <x:c r="E117" s="9" t="str">
        <x:v>KF2EDGRM-3.81-4P</x:v>
      </x:c>
      <x:c r="F117" s="9" t="str">
        <x:v>KEFA</x:v>
      </x:c>
      <x:c r="G117" s="9" t="str"/>
      <x:c r="H117" s="9" t="str">
        <x:v>kicad_api_lib:KF2EDGRM-3.81-4P</x:v>
      </x:c>
      <x:c r="I117" s="9" t="str">
        <x:v>kicad_api_lib:KF2EDGRM-3.81-4P</x:v>
      </x:c>
      <x:c r="J117" s="9" t="str"/>
      <x:c r="K117" s="9" t="str">
        <x:v>G4613410</x:v>
      </x:c>
      <x:c r="L117" s="9" t="str">
        <x:v>/MCU_Core/Motor_Comm/</x:v>
      </x:c>
      <x:c r="M117" s="9" t="str">
        <x:v>Motor_Comm.kicad_sch</x:v>
      </x:c>
      <x:c r="N117" s="9" t="str"/>
      <x:c r="O117" s="9" t="str">
        <x:v>Plug in terminal 4Pin spacing: 3.81mm, 1 row of bend plug</x:v>
      </x:c>
      <x:c r="P117" s="9" t="str"/>
    </x:row>
    <x:row r="118" ht="48" customHeight="1">
      <x:c r="A118" s="13" t="str">
        <x:v>H10</x:v>
      </x:c>
      <x:c r="B118" s="13" t="str">
        <x:v>KF2EDGRM-3.81-4P</x:v>
      </x:c>
      <x:c r="C118" s="14" t="n">
        <x:v>0</x:v>
      </x:c>
      <x:c r="D118" s="16" t="str">
        <x:v>DNP不装配；原理图排除PCB；排除BOM；PCB中无封装</x:v>
      </x:c>
      <x:c r="E118" s="13" t="str">
        <x:v>KF2EDGRM-3.81-4P</x:v>
      </x:c>
      <x:c r="F118" s="13" t="str">
        <x:v>KEFA</x:v>
      </x:c>
      <x:c r="G118" s="13" t="str"/>
      <x:c r="H118" s="13" t="str">
        <x:v>kicad_api_lib:KF2EDGRM-3.81-4P</x:v>
      </x:c>
      <x:c r="I118" s="13" t="str">
        <x:v>kicad_api_lib:KF2EDGRM-3.81-4P</x:v>
      </x:c>
      <x:c r="J118" s="13" t="str"/>
      <x:c r="K118" s="13" t="str">
        <x:v>G4613410</x:v>
      </x:c>
      <x:c r="L118" s="13" t="str">
        <x:v>/MCU_Core/Motor_Comm/</x:v>
      </x:c>
      <x:c r="M118" s="13" t="str">
        <x:v>Motor_Comm.kicad_sch</x:v>
      </x:c>
      <x:c r="N118" s="13" t="str"/>
      <x:c r="O118" s="13" t="str">
        <x:v>Plug in terminal 4Pin spacing: 3.81mm, 1 row of bend plug</x:v>
      </x:c>
      <x:c r="P118" s="13" t="str"/>
    </x:row>
    <x:row r="119" ht="48" customHeight="1">
      <x:c r="A119" s="9" t="str">
        <x:v>J1</x:v>
      </x:c>
      <x:c r="B119" s="9" t="str">
        <x:v>TYPE-C-31-M-31</x:v>
      </x:c>
      <x:c r="C119" s="12" t="n">
        <x:v>1</x:v>
      </x:c>
      <x:c r="D119" s="9" t="str">
        <x:v>装配/计入采购</x:v>
      </x:c>
      <x:c r="E119" s="9" t="str">
        <x:v>TYPE-C-31-M-31</x:v>
      </x:c>
      <x:c r="F119" s="9" t="str">
        <x:v>HRO</x:v>
      </x:c>
      <x:c r="G119" s="9" t="str">
        <x:v>Top</x:v>
      </x:c>
      <x:c r="H119" s="9" t="str">
        <x:v>kicad_api_lib:TYPE-C-31-M-31</x:v>
      </x:c>
      <x:c r="I119" s="9" t="str">
        <x:v>kicad_api_lib:TYPE-C-31-M-31</x:v>
      </x:c>
      <x:c r="J119" s="9" t="str"/>
      <x:c r="K119" s="9" t="str">
        <x:v>G5062742</x:v>
      </x:c>
      <x:c r="L119" s="9" t="str">
        <x:v>/MCU_Core/USB_TTL_CH340/</x:v>
      </x:c>
      <x:c r="M119" s="9" t="str">
        <x:v>TTL_CH340.kicad_sch</x:v>
      </x:c>
      <x:c r="N119" s="9" t="str"/>
      <x:c r="O119" s="9" t="str">
        <x:v>8.94×7.35×3.26mm，16P，表面贴装式，TYPE-C接口，DC：20V，5A</x:v>
      </x:c>
      <x:c r="P119" s="9" t="str">
        <x:v>嘉立创料号待匹配</x:v>
      </x:c>
    </x:row>
    <x:row r="120" ht="60" customHeight="1">
      <x:c r="A120" s="13" t="str">
        <x:v>J2</x:v>
      </x:c>
      <x:c r="B120" s="13" t="str">
        <x:v>TYPE-C 16PIN 2MD(073)</x:v>
      </x:c>
      <x:c r="C120" s="14" t="n">
        <x:v>1</x:v>
      </x:c>
      <x:c r="D120" s="13" t="str">
        <x:v>装配/计入采购</x:v>
      </x:c>
      <x:c r="E120" s="13" t="str">
        <x:v>TYPE-C 16PIN 2MD(073)</x:v>
      </x:c>
      <x:c r="F120" s="13" t="str">
        <x:v>SHOU HAN</x:v>
      </x:c>
      <x:c r="G120" s="13" t="str">
        <x:v>Top</x:v>
      </x:c>
      <x:c r="H120" s="13" t="str">
        <x:v>kicad_api_lib:TYPE-C-31-M-31</x:v>
      </x:c>
      <x:c r="I120" s="13" t="str">
        <x:v>kicad_api_lib:TYPE-C-31-M-31</x:v>
      </x:c>
      <x:c r="J120" s="13" t="str"/>
      <x:c r="K120" s="13" t="str"/>
      <x:c r="L120" s="13" t="str">
        <x:v>/MCU_Core/USB_TTL_CH340/</x:v>
      </x:c>
      <x:c r="M120" s="13" t="str">
        <x:v>TTL_CH340.kicad_sch</x:v>
      </x:c>
      <x:c r="N120" s="13" t="str"/>
      <x:c r="O120" s="13" t="str">
        <x:v>连接器类型:Type-C;标准:-;公母:母座;触点数量:16;端口数量:1;安装方式:卧贴;额定电流 - 电源:5A;工作温度范围:-25℃~+85℃;</x:v>
      </x:c>
      <x:c r="P120" s="13" t="str">
        <x:v>嘉立创料号待匹配；华秋料号待匹配</x:v>
      </x:c>
    </x:row>
    <x:row r="121" ht="48" customHeight="1">
      <x:c r="A121" s="9" t="str">
        <x:v>J3</x:v>
      </x:c>
      <x:c r="B121" s="9" t="str">
        <x:v>TYPE-C-31-M-31</x:v>
      </x:c>
      <x:c r="C121" s="12" t="n">
        <x:v>0</x:v>
      </x:c>
      <x:c r="D121" s="15" t="str">
        <x:v>DNP不装配；原理图排除PCB；排除BOM；PCB中无封装</x:v>
      </x:c>
      <x:c r="E121" s="9" t="str"/>
      <x:c r="F121" s="9" t="str"/>
      <x:c r="G121" s="9" t="str"/>
      <x:c r="H121" s="9" t="str">
        <x:v>kicad_api_lib:TYPE-C-31-M-31</x:v>
      </x:c>
      <x:c r="I121" s="9" t="str">
        <x:v>kicad_api_lib:TYPE-C-31-M-31</x:v>
      </x:c>
      <x:c r="J121" s="9" t="str"/>
      <x:c r="K121" s="9" t="str"/>
      <x:c r="L121" s="9" t="str">
        <x:v>/MCU_Core/WiFi_OTA/</x:v>
      </x:c>
      <x:c r="M121" s="9" t="str">
        <x:v>WiFi_OTA.kicad_sch</x:v>
      </x:c>
      <x:c r="N121" s="9" t="str"/>
      <x:c r="O121" s="9" t="str"/>
      <x:c r="P121" s="9" t="str"/>
    </x:row>
    <x:row r="122" ht="48" customHeight="1">
      <x:c r="A122" s="13" t="str">
        <x:v>JP1</x:v>
      </x:c>
      <x:c r="B122" s="13" t="str">
        <x:v>SolderJumper_3_Bridged12</x:v>
      </x:c>
      <x:c r="C122" s="14" t="n">
        <x:v>0</x:v>
      </x:c>
      <x:c r="D122" s="16" t="str">
        <x:v>排除BOM；板上结构/无需采购</x:v>
      </x:c>
      <x:c r="E122" s="13" t="str"/>
      <x:c r="F122" s="13" t="str"/>
      <x:c r="G122" s="13" t="str">
        <x:v>Top</x:v>
      </x:c>
      <x:c r="H122" s="13" t="str">
        <x:v>Jumper:SolderJumper-3_P1.3mm_Bridged12_RoundedPad1.0x1.5mm</x:v>
      </x:c>
      <x:c r="I122" s="13" t="str">
        <x:v>Jumper:SolderJumper-3_P1.3mm_Bridged12_RoundedPad1.0x1.5mm</x:v>
      </x:c>
      <x:c r="J122" s="13" t="str"/>
      <x:c r="K122" s="13" t="str"/>
      <x:c r="L122" s="13" t="str">
        <x:v>/MCU_Core/</x:v>
      </x:c>
      <x:c r="M122" s="13" t="str">
        <x:v>GD32F303VET6.kicad_sch</x:v>
      </x:c>
      <x:c r="N122" s="13" t="str"/>
      <x:c r="O122" s="13" t="str">
        <x:v>3-pole Solder Jumper, pins 1+2 closed/bridged</x:v>
      </x:c>
      <x:c r="P122" s="13" t="str"/>
    </x:row>
    <x:row r="123" ht="48" customHeight="1">
      <x:c r="A123" s="9" t="str">
        <x:v>JP2</x:v>
      </x:c>
      <x:c r="B123" s="9" t="str">
        <x:v>Jumper_2_Small_Open</x:v>
      </x:c>
      <x:c r="C123" s="12" t="n">
        <x:v>1</x:v>
      </x:c>
      <x:c r="D123" s="9" t="str">
        <x:v>装配/计入采购</x:v>
      </x:c>
      <x:c r="E123" s="9" t="str"/>
      <x:c r="F123" s="9" t="str"/>
      <x:c r="G123" s="9" t="str">
        <x:v>Top</x:v>
      </x:c>
      <x:c r="H123" s="9" t="str">
        <x:v>Connector_PinHeader_2.54mm:PinHeader_1x02_P2.54mm_Vertical</x:v>
      </x:c>
      <x:c r="I123" s="9" t="str">
        <x:v>Connector_PinHeader_2.54mm:PinHeader_1x02_P2.54mm_Vertical</x:v>
      </x:c>
      <x:c r="J123" s="9" t="str"/>
      <x:c r="K123" s="9" t="str"/>
      <x:c r="L123" s="9" t="str">
        <x:v>/MCU_Core/</x:v>
      </x:c>
      <x:c r="M123" s="9" t="str">
        <x:v>GD32F303VET6.kicad_sch</x:v>
      </x:c>
      <x:c r="N123" s="9" t="str"/>
      <x:c r="O123" s="9" t="str">
        <x:v>Jumper, 2-pole, small symbol, open</x:v>
      </x:c>
      <x:c r="P123" s="9" t="str">
        <x:v>MPN待补齐；型号/数值按原设计保留；品牌待补齐；嘉立创料号待匹配；华秋料号待匹配</x:v>
      </x:c>
    </x:row>
    <x:row r="124" ht="48" customHeight="1">
      <x:c r="A124" s="13" t="str">
        <x:v>L1</x:v>
      </x:c>
      <x:c r="B124" s="13" t="str">
        <x:v>SMMS0650-680M</x:v>
      </x:c>
      <x:c r="C124" s="14" t="n">
        <x:v>1</x:v>
      </x:c>
      <x:c r="D124" s="13" t="str">
        <x:v>装配/计入采购</x:v>
      </x:c>
      <x:c r="E124" s="13" t="str">
        <x:v>SMMS0650-680M</x:v>
      </x:c>
      <x:c r="F124" s="13" t="str">
        <x:v>SXN</x:v>
      </x:c>
      <x:c r="G124" s="13" t="str">
        <x:v>Top</x:v>
      </x:c>
      <x:c r="H124" s="13" t="str">
        <x:v>kicad_api_lib:SMMS0650-680M</x:v>
      </x:c>
      <x:c r="I124" s="13" t="str">
        <x:v>kicad_api_lib:SMMS0650-680M</x:v>
      </x:c>
      <x:c r="J124" s="13" t="str"/>
      <x:c r="K124" s="13" t="str">
        <x:v>G5428724</x:v>
      </x:c>
      <x:c r="L124" s="13" t="str">
        <x:v>/POWER/</x:v>
      </x:c>
      <x:c r="M124" s="13" t="str">
        <x:v>POWER.kicad_sch</x:v>
      </x:c>
      <x:c r="N124" s="13" t="str"/>
      <x:c r="O124" s="13" t="str">
        <x:v>电感值:68uH;精度:±20%;额定电流:1.5A;饱和电流(Isat):2A;</x:v>
      </x:c>
      <x:c r="P124" s="13" t="str">
        <x:v>嘉立创料号待匹配</x:v>
      </x:c>
    </x:row>
    <x:row r="125" ht="48" customHeight="1">
      <x:c r="A125" s="9" t="str">
        <x:v>L2</x:v>
      </x:c>
      <x:c r="B125" s="9" t="str">
        <x:v>1uH</x:v>
      </x:c>
      <x:c r="C125" s="12" t="n">
        <x:v>0</x:v>
      </x:c>
      <x:c r="D125" s="15" t="str">
        <x:v>DNP不装配；原理图排除PCB；排除BOM；PCB中无封装</x:v>
      </x:c>
      <x:c r="E125" s="9" t="str">
        <x:v>MWTC201610S1R0MT</x:v>
      </x:c>
      <x:c r="F125" s="9" t="str">
        <x:v>Sunlord Electronics</x:v>
      </x:c>
      <x:c r="G125" s="9" t="str"/>
      <x:c r="H125" s="9" t="str">
        <x:v>kicad_api_lib:MWTC201610S1R0MT</x:v>
      </x:c>
      <x:c r="I125" s="9" t="str">
        <x:v>kicad_api_lib:MWTC201610S1R0MT</x:v>
      </x:c>
      <x:c r="J125" s="9" t="str"/>
      <x:c r="K125" s="9" t="str">
        <x:v>G4732531</x:v>
      </x:c>
      <x:c r="L125" s="9" t="str">
        <x:v>/POWER/</x:v>
      </x:c>
      <x:c r="M125" s="9" t="str">
        <x:v>POWER.kicad_sch</x:v>
      </x:c>
      <x:c r="N125" s="9" t="str"/>
      <x:c r="O125" s="9" t="str">
        <x:v>Power Inductors 1µH ±20% IND_2X1.6MM_SM 1.00mm 2.00 x 1.60mm 42mΩ 3.4A 46MHz</x:v>
      </x:c>
      <x:c r="P125" s="9" t="str"/>
    </x:row>
    <x:row r="126" ht="48" customHeight="1">
      <x:c r="A126" s="13" t="str">
        <x:v>L3</x:v>
      </x:c>
      <x:c r="B126" s="13" t="str">
        <x:v>2.2uH</x:v>
      </x:c>
      <x:c r="C126" s="14" t="n">
        <x:v>1</x:v>
      </x:c>
      <x:c r="D126" s="13" t="str">
        <x:v>装配/计入采购</x:v>
      </x:c>
      <x:c r="E126" s="13" t="str">
        <x:v>SWPA3015S2R2NT</x:v>
      </x:c>
      <x:c r="F126" s="13" t="str">
        <x:v>Sunlord Electronics</x:v>
      </x:c>
      <x:c r="G126" s="13" t="str">
        <x:v>Top</x:v>
      </x:c>
      <x:c r="H126" s="13" t="str">
        <x:v>kicad_api_lib:SWPA3015S2R2NT</x:v>
      </x:c>
      <x:c r="I126" s="13" t="str">
        <x:v>kicad_api_lib:SWPA3015S2R2NT</x:v>
      </x:c>
      <x:c r="J126" s="13" t="str"/>
      <x:c r="K126" s="13" t="str"/>
      <x:c r="L126" s="13" t="str">
        <x:v>/POWER/</x:v>
      </x:c>
      <x:c r="M126" s="13" t="str">
        <x:v>POWER.kicad_sch</x:v>
      </x:c>
      <x:c r="N126" s="13" t="str"/>
      <x:c r="O126" s="13" t="str">
        <x:v>FIXED IND 2.2UH 1.6A 78MOHM SMD</x:v>
      </x:c>
      <x:c r="P126" s="13" t="str">
        <x:v>嘉立创料号待匹配；华秋料号待匹配</x:v>
      </x:c>
    </x:row>
    <x:row r="127" ht="48" customHeight="1">
      <x:c r="A127" s="9" t="str">
        <x:v>L4</x:v>
      </x:c>
      <x:c r="B127" s="9" t="str">
        <x:v>PCAQ2012B-900T040</x:v>
      </x:c>
      <x:c r="C127" s="12" t="n">
        <x:v>0</x:v>
      </x:c>
      <x:c r="D127" s="15" t="str">
        <x:v>DNP不装配；原理图排除PCB；排除BOM；PCB中无封装</x:v>
      </x:c>
      <x:c r="E127" s="9" t="str">
        <x:v>PCAQ2012B-900T040</x:v>
      </x:c>
      <x:c r="F127" s="9" t="str">
        <x:v>PROD</x:v>
      </x:c>
      <x:c r="G127" s="9" t="str"/>
      <x:c r="H127" s="9" t="str">
        <x:v>kicad_api_lib:PCAQ2012B-900T040</x:v>
      </x:c>
      <x:c r="I127" s="9" t="str">
        <x:v>kicad_api_lib:PCAQ2012B-900T040</x:v>
      </x:c>
      <x:c r="J127" s="9" t="str"/>
      <x:c r="K127" s="9" t="str">
        <x:v>G6651444</x:v>
      </x:c>
      <x:c r="L127" s="9" t="str">
        <x:v>/MCU_Core/USB_TTL_CH340/</x:v>
      </x:c>
      <x:c r="M127" s="9" t="str">
        <x:v>TTL_CH340.kicad_sch</x:v>
      </x:c>
      <x:c r="N127" s="9" t="str"/>
      <x:c r="O127" s="9" t="str">
        <x:v>2线路共模扼流圈，90Ω@100MHz，400mA，50V</x:v>
      </x:c>
      <x:c r="P127" s="9" t="str"/>
    </x:row>
    <x:row r="128" ht="48" customHeight="1">
      <x:c r="A128" s="13" t="str">
        <x:v>L5</x:v>
      </x:c>
      <x:c r="B128" s="13" t="str">
        <x:v>PCAQ2012B-900T040</x:v>
      </x:c>
      <x:c r="C128" s="14" t="n">
        <x:v>1</x:v>
      </x:c>
      <x:c r="D128" s="13" t="str">
        <x:v>装配/计入采购</x:v>
      </x:c>
      <x:c r="E128" s="13" t="str">
        <x:v>PCAQ2012B-900T040</x:v>
      </x:c>
      <x:c r="F128" s="13" t="str">
        <x:v>PROD</x:v>
      </x:c>
      <x:c r="G128" s="13" t="str">
        <x:v>Top</x:v>
      </x:c>
      <x:c r="H128" s="13" t="str">
        <x:v>kicad_api_lib:PCAQ2012B-900T040</x:v>
      </x:c>
      <x:c r="I128" s="13" t="str">
        <x:v>kicad_api_lib:PCAQ2012B-900T040</x:v>
      </x:c>
      <x:c r="J128" s="13" t="str"/>
      <x:c r="K128" s="13" t="str">
        <x:v>G6651444</x:v>
      </x:c>
      <x:c r="L128" s="13" t="str">
        <x:v>/MCU_Core/USB_TTL_CH340/</x:v>
      </x:c>
      <x:c r="M128" s="13" t="str">
        <x:v>TTL_CH340.kicad_sch</x:v>
      </x:c>
      <x:c r="N128" s="13" t="str"/>
      <x:c r="O128" s="13" t="str">
        <x:v>2线路共模扼流圈，90Ω@100MHz，400mA，50V</x:v>
      </x:c>
      <x:c r="P128" s="13" t="str">
        <x:v>嘉立创料号待匹配</x:v>
      </x:c>
    </x:row>
    <x:row r="129" ht="48" customHeight="1">
      <x:c r="A129" s="9" t="str">
        <x:v>Q1</x:v>
      </x:c>
      <x:c r="B129" s="9" t="str">
        <x:v>AP40P04Q</x:v>
      </x:c>
      <x:c r="C129" s="12" t="n">
        <x:v>0</x:v>
      </x:c>
      <x:c r="D129" s="15" t="str">
        <x:v>DNP不装配；原理图排除PCB；排除BOM；PCB中无封装</x:v>
      </x:c>
      <x:c r="E129" s="9" t="str">
        <x:v>AP40P04Q</x:v>
      </x:c>
      <x:c r="F129" s="9" t="str">
        <x:v>ALLPOWER</x:v>
      </x:c>
      <x:c r="G129" s="9" t="str"/>
      <x:c r="H129" s="9" t="str">
        <x:v>kicad_api_lib:AP40P04Q</x:v>
      </x:c>
      <x:c r="I129" s="9" t="str">
        <x:v>kicad_api_lib:AP40P04Q</x:v>
      </x:c>
      <x:c r="J129" s="9" t="str"/>
      <x:c r="K129" s="9" t="str">
        <x:v>G12287606</x:v>
      </x:c>
      <x:c r="L129" s="9" t="str">
        <x:v>/POWER/</x:v>
      </x:c>
      <x:c r="M129" s="9" t="str">
        <x:v>POWER.kicad_sch</x:v>
      </x:c>
      <x:c r="N129" s="9" t="str"/>
      <x:c r="O129" s="9" t="str">
        <x:v>P沟道MOSFET管，-40V，-30A，20W</x:v>
      </x:c>
      <x:c r="P129" s="9" t="str"/>
    </x:row>
    <x:row r="130" ht="48" customHeight="1">
      <x:c r="A130" s="13" t="str">
        <x:v>Q2</x:v>
      </x:c>
      <x:c r="B130" s="13" t="str">
        <x:v>MMDT5401</x:v>
      </x:c>
      <x:c r="C130" s="14" t="n">
        <x:v>0</x:v>
      </x:c>
      <x:c r="D130" s="16" t="str">
        <x:v>DNP不装配；原理图排除PCB；排除BOM；PCB中无封装</x:v>
      </x:c>
      <x:c r="E130" s="13" t="str">
        <x:v>MMDT5401</x:v>
      </x:c>
      <x:c r="F130" s="13" t="str">
        <x:v>MSKSEMI</x:v>
      </x:c>
      <x:c r="G130" s="13" t="str"/>
      <x:c r="H130" s="13" t="str">
        <x:v>kicad_api_lib:MMDT5401</x:v>
      </x:c>
      <x:c r="I130" s="13" t="str">
        <x:v>kicad_api_lib:MMDT5401</x:v>
      </x:c>
      <x:c r="J130" s="13" t="str"/>
      <x:c r="K130" s="13" t="str">
        <x:v>G12280323</x:v>
      </x:c>
      <x:c r="L130" s="13" t="str">
        <x:v>/POWER/</x:v>
      </x:c>
      <x:c r="M130" s="13" t="str">
        <x:v>POWER.kicad_sch</x:v>
      </x:c>
      <x:c r="N130" s="13" t="str"/>
      <x:c r="O130" s="13" t="str">
        <x:v>PNP型双极晶体管，适用于中功率放大和开关应用，VCBO=-160V，IC=-0.2A，PC=0.2W</x:v>
      </x:c>
      <x:c r="P130" s="13" t="str"/>
    </x:row>
    <x:row r="131" ht="48" customHeight="1">
      <x:c r="A131" s="9" t="str">
        <x:v>Q3</x:v>
      </x:c>
      <x:c r="B131" s="9" t="str">
        <x:v>CJ3134K</x:v>
      </x:c>
      <x:c r="C131" s="12" t="n">
        <x:v>1</x:v>
      </x:c>
      <x:c r="D131" s="9" t="str">
        <x:v>装配/计入采购</x:v>
      </x:c>
      <x:c r="E131" s="9" t="str">
        <x:v>CJ3134K</x:v>
      </x:c>
      <x:c r="F131" s="9" t="str">
        <x:v>JSCJ</x:v>
      </x:c>
      <x:c r="G131" s="9" t="str">
        <x:v>Top</x:v>
      </x:c>
      <x:c r="H131" s="9" t="str">
        <x:v>kicad_api_lib:CJ3134K</x:v>
      </x:c>
      <x:c r="I131" s="9" t="str">
        <x:v>kicad_api_lib:CJ3134K</x:v>
      </x:c>
      <x:c r="J131" s="9" t="str"/>
      <x:c r="K131" s="9" t="str">
        <x:v>G14554374</x:v>
      </x:c>
      <x:c r="L131" s="9" t="str">
        <x:v>/RS485/</x:v>
      </x:c>
      <x:c r="M131" s="9" t="str">
        <x:v>RS485.kicad_sch</x:v>
      </x:c>
      <x:c r="N131" s="9" t="str"/>
      <x:c r="O131" s="9" t="str">
        <x:v>类型:N沟道;漏源电压(Vdss):20V;连续漏极电流(Id):750mA;功率(Pd):350mW;导通电阻(RDS(on)@Vgs,Id):380mΩ@4.5V,650mA;</x:v>
      </x:c>
      <x:c r="P131" s="9" t="str">
        <x:v>嘉立创料号待匹配</x:v>
      </x:c>
    </x:row>
    <x:row r="132" ht="60" customHeight="1">
      <x:c r="A132" s="13" t="str">
        <x:v>Q4</x:v>
      </x:c>
      <x:c r="B132" s="13" t="str">
        <x:v>CJ3134K KF</x:v>
      </x:c>
      <x:c r="C132" s="14" t="n">
        <x:v>1</x:v>
      </x:c>
      <x:c r="D132" s="13" t="str">
        <x:v>装配/计入采购</x:v>
      </x:c>
      <x:c r="E132" s="13" t="str">
        <x:v>CJ3134K KF</x:v>
      </x:c>
      <x:c r="F132" s="13" t="str">
        <x:v>JSCJ</x:v>
      </x:c>
      <x:c r="G132" s="13" t="str">
        <x:v>Top</x:v>
      </x:c>
      <x:c r="H132" s="13" t="str">
        <x:v>kicad_api_lib:CJ3134K KF</x:v>
      </x:c>
      <x:c r="I132" s="13" t="str">
        <x:v>kicad_api_lib:CJ3134K KF</x:v>
      </x:c>
      <x:c r="J132" s="13" t="str"/>
      <x:c r="K132" s="13" t="str">
        <x:v>G11502367</x:v>
      </x:c>
      <x:c r="L132" s="13" t="str">
        <x:v>/MCU_Core/USB_TTL_CH340/</x:v>
      </x:c>
      <x:c r="M132" s="13" t="str">
        <x:v>TTL_CH340.kicad_sch</x:v>
      </x:c>
      <x:c r="N132" s="13" t="str"/>
      <x:c r="O132" s="13" t="str">
        <x:v>类型:N沟道;漏源电压(Vdss):20V;连续漏极电流(Id):750mA;功率(Pd):150mW;导通电阻(RDS(on)@Vgs,Id):380mΩ@4.5V,650mA;阈值电压(Vgs(th)@Id):1.1V@250uA;</x:v>
      </x:c>
      <x:c r="P132" s="13" t="str">
        <x:v>嘉立创料号待匹配</x:v>
      </x:c>
    </x:row>
    <x:row r="133" ht="60" customHeight="1">
      <x:c r="A133" s="9" t="str">
        <x:v>Q5</x:v>
      </x:c>
      <x:c r="B133" s="9" t="str">
        <x:v>CJ3134K KF</x:v>
      </x:c>
      <x:c r="C133" s="12" t="n">
        <x:v>1</x:v>
      </x:c>
      <x:c r="D133" s="9" t="str">
        <x:v>装配/计入采购</x:v>
      </x:c>
      <x:c r="E133" s="9" t="str">
        <x:v>CJ3134K KF</x:v>
      </x:c>
      <x:c r="F133" s="9" t="str">
        <x:v>JSCJ</x:v>
      </x:c>
      <x:c r="G133" s="9" t="str">
        <x:v>Top</x:v>
      </x:c>
      <x:c r="H133" s="9" t="str">
        <x:v>kicad_api_lib:CJ3134K KF</x:v>
      </x:c>
      <x:c r="I133" s="9" t="str">
        <x:v>kicad_api_lib:CJ3134K KF</x:v>
      </x:c>
      <x:c r="J133" s="9" t="str"/>
      <x:c r="K133" s="9" t="str">
        <x:v>G11502367</x:v>
      </x:c>
      <x:c r="L133" s="9" t="str">
        <x:v>/MCU_Core/USB_TTL_CH340/</x:v>
      </x:c>
      <x:c r="M133" s="9" t="str">
        <x:v>TTL_CH340.kicad_sch</x:v>
      </x:c>
      <x:c r="N133" s="9" t="str"/>
      <x:c r="O133" s="9" t="str">
        <x:v>类型:N沟道;漏源电压(Vdss):20V;连续漏极电流(Id):750mA;功率(Pd):150mW;导通电阻(RDS(on)@Vgs,Id):380mΩ@4.5V,650mA;阈值电压(Vgs(th)@Id):1.1V@250uA;</x:v>
      </x:c>
      <x:c r="P133" s="9" t="str">
        <x:v>嘉立创料号待匹配</x:v>
      </x:c>
    </x:row>
    <x:row r="134" ht="48" customHeight="1">
      <x:c r="A134" s="13" t="str">
        <x:v>R1</x:v>
      </x:c>
      <x:c r="B134" s="13" t="str">
        <x:v>10kΩ</x:v>
      </x:c>
      <x:c r="C134" s="14" t="n">
        <x:v>1</x:v>
      </x:c>
      <x:c r="D134" s="13" t="str">
        <x:v>装配/计入采购</x:v>
      </x:c>
      <x:c r="E134" s="13" t="str"/>
      <x:c r="F134" s="13" t="str"/>
      <x:c r="G134" s="13" t="str">
        <x:v>Top</x:v>
      </x:c>
      <x:c r="H134" s="13" t="str">
        <x:v>Resistor_SMD:R_0603_1608Metric</x:v>
      </x:c>
      <x:c r="I134" s="13" t="str">
        <x:v>Resistor_SMD:R_0603_1608Metric</x:v>
      </x:c>
      <x:c r="J134" s="13" t="str"/>
      <x:c r="K134" s="13" t="str"/>
      <x:c r="L134" s="13" t="str">
        <x:v>/POWER/</x:v>
      </x:c>
      <x:c r="M134" s="13" t="str">
        <x:v>POWER.kicad_sch</x:v>
      </x:c>
      <x:c r="N134" s="13" t="str"/>
      <x:c r="O134" s="13" t="str">
        <x:v>Resistor, US symbol</x:v>
      </x:c>
      <x:c r="P134" s="13" t="str">
        <x:v>MPN待补齐；型号/数值按原设计保留；品牌待补齐；嘉立创料号待匹配；华秋料号待匹配</x:v>
      </x:c>
    </x:row>
    <x:row r="135" ht="48" customHeight="1">
      <x:c r="A135" s="9" t="str">
        <x:v>R2</x:v>
      </x:c>
      <x:c r="B135" s="9" t="str">
        <x:v>10kΩ</x:v>
      </x:c>
      <x:c r="C135" s="12" t="n">
        <x:v>1</x:v>
      </x:c>
      <x:c r="D135" s="9" t="str">
        <x:v>装配/计入采购</x:v>
      </x:c>
      <x:c r="E135" s="9" t="str"/>
      <x:c r="F135" s="9" t="str"/>
      <x:c r="G135" s="9" t="str">
        <x:v>Top</x:v>
      </x:c>
      <x:c r="H135" s="9" t="str">
        <x:v>Resistor_SMD:R_0603_1608Metric</x:v>
      </x:c>
      <x:c r="I135" s="9" t="str">
        <x:v>Resistor_SMD:R_0603_1608Metric</x:v>
      </x:c>
      <x:c r="J135" s="9" t="str"/>
      <x:c r="K135" s="9" t="str"/>
      <x:c r="L135" s="9" t="str">
        <x:v>/POWER/</x:v>
      </x:c>
      <x:c r="M135" s="9" t="str">
        <x:v>POWER.kicad_sch</x:v>
      </x:c>
      <x:c r="N135" s="9" t="str"/>
      <x:c r="O135" s="9" t="str">
        <x:v>Resistor, US symbol</x:v>
      </x:c>
      <x:c r="P135" s="9" t="str">
        <x:v>MPN待补齐；型号/数值按原设计保留；品牌待补齐；嘉立创料号待匹配；华秋料号待匹配</x:v>
      </x:c>
    </x:row>
    <x:row r="136" ht="48" customHeight="1">
      <x:c r="A136" s="13" t="str">
        <x:v>R3</x:v>
      </x:c>
      <x:c r="B136" s="13" t="str">
        <x:v>10kΩ</x:v>
      </x:c>
      <x:c r="C136" s="14" t="n">
        <x:v>1</x:v>
      </x:c>
      <x:c r="D136" s="13" t="str">
        <x:v>装配/计入采购</x:v>
      </x:c>
      <x:c r="E136" s="13" t="str"/>
      <x:c r="F136" s="13" t="str"/>
      <x:c r="G136" s="13" t="str">
        <x:v>Top</x:v>
      </x:c>
      <x:c r="H136" s="13" t="str">
        <x:v>Resistor_SMD:R_0603_1608Metric</x:v>
      </x:c>
      <x:c r="I136" s="13" t="str">
        <x:v>Resistor_SMD:R_0603_1608Metric</x:v>
      </x:c>
      <x:c r="J136" s="13" t="str"/>
      <x:c r="K136" s="13" t="str"/>
      <x:c r="L136" s="13" t="str">
        <x:v>/POWER/</x:v>
      </x:c>
      <x:c r="M136" s="13" t="str">
        <x:v>POWER.kicad_sch</x:v>
      </x:c>
      <x:c r="N136" s="13" t="str"/>
      <x:c r="O136" s="13" t="str">
        <x:v>Resistor, US symbol</x:v>
      </x:c>
      <x:c r="P136" s="13" t="str">
        <x:v>MPN待补齐；型号/数值按原设计保留；品牌待补齐；嘉立创料号待匹配；华秋料号待匹配</x:v>
      </x:c>
    </x:row>
    <x:row r="137" ht="48" customHeight="1">
      <x:c r="A137" s="9" t="str">
        <x:v>R4</x:v>
      </x:c>
      <x:c r="B137" s="9" t="str">
        <x:v>22.1k</x:v>
      </x:c>
      <x:c r="C137" s="12" t="n">
        <x:v>0</x:v>
      </x:c>
      <x:c r="D137" s="15" t="str">
        <x:v>DNP不装配；原理图排除PCB；排除BOM；PCB中无封装</x:v>
      </x:c>
      <x:c r="E137" s="9" t="str"/>
      <x:c r="F137" s="9" t="str"/>
      <x:c r="G137" s="9" t="str"/>
      <x:c r="H137" s="9" t="str">
        <x:v>Resistor_SMD:R_0603_1608Metric</x:v>
      </x:c>
      <x:c r="I137" s="9" t="str">
        <x:v>Resistor_SMD:R_0603_1608Metric</x:v>
      </x:c>
      <x:c r="J137" s="9" t="str"/>
      <x:c r="K137" s="9" t="str"/>
      <x:c r="L137" s="9" t="str">
        <x:v>/POWER/</x:v>
      </x:c>
      <x:c r="M137" s="9" t="str">
        <x:v>POWER.kicad_sch</x:v>
      </x:c>
      <x:c r="N137" s="9" t="str"/>
      <x:c r="O137" s="9" t="str">
        <x:v>22.1k, 1%, feedback lower resistor; FB to GNDS</x:v>
      </x:c>
      <x:c r="P137" s="9" t="str"/>
    </x:row>
    <x:row r="138" ht="48" customHeight="1">
      <x:c r="A138" s="13" t="str">
        <x:v>R5</x:v>
      </x:c>
      <x:c r="B138" s="13" t="str">
        <x:v>100k</x:v>
      </x:c>
      <x:c r="C138" s="14" t="n">
        <x:v>0</x:v>
      </x:c>
      <x:c r="D138" s="16" t="str">
        <x:v>DNP不装配；原理图排除PCB；排除BOM；PCB中无封装</x:v>
      </x:c>
      <x:c r="E138" s="13" t="str"/>
      <x:c r="F138" s="13" t="str"/>
      <x:c r="G138" s="13" t="str"/>
      <x:c r="H138" s="13" t="str">
        <x:v>Resistor_SMD:R_0603_1608Metric</x:v>
      </x:c>
      <x:c r="I138" s="13" t="str">
        <x:v>Resistor_SMD:R_0603_1608Metric</x:v>
      </x:c>
      <x:c r="J138" s="13" t="str"/>
      <x:c r="K138" s="13" t="str"/>
      <x:c r="L138" s="13" t="str">
        <x:v>/POWER/</x:v>
      </x:c>
      <x:c r="M138" s="13" t="str">
        <x:v>POWER.kicad_sch</x:v>
      </x:c>
      <x:c r="N138" s="13" t="str"/>
      <x:c r="O138" s="13" t="str">
        <x:v>100k, 1%, feedback upper resistor; +3V3S to FB</x:v>
      </x:c>
      <x:c r="P138" s="13" t="str"/>
    </x:row>
    <x:row r="139" ht="48" customHeight="1">
      <x:c r="A139" s="9" t="str">
        <x:v>R6</x:v>
      </x:c>
      <x:c r="B139" s="9" t="str">
        <x:v>1MΩ</x:v>
      </x:c>
      <x:c r="C139" s="12" t="n">
        <x:v>1</x:v>
      </x:c>
      <x:c r="D139" s="9" t="str">
        <x:v>装配/计入采购</x:v>
      </x:c>
      <x:c r="E139" s="9" t="str"/>
      <x:c r="F139" s="9" t="str"/>
      <x:c r="G139" s="9" t="str">
        <x:v>Top</x:v>
      </x:c>
      <x:c r="H139" s="9" t="str">
        <x:v>Resistor_SMD:R_0603_1608Metric</x:v>
      </x:c>
      <x:c r="I139" s="9" t="str">
        <x:v>Resistor_SMD:R_0603_1608Metric</x:v>
      </x:c>
      <x:c r="J139" s="9" t="str"/>
      <x:c r="K139" s="9" t="str"/>
      <x:c r="L139" s="9" t="str">
        <x:v>/POWER/</x:v>
      </x:c>
      <x:c r="M139" s="9" t="str">
        <x:v>POWER.kicad_sch</x:v>
      </x:c>
      <x:c r="N139" s="9" t="str"/>
      <x:c r="O139" s="9" t="str">
        <x:v>Resistor, US symbol</x:v>
      </x:c>
      <x:c r="P139" s="9" t="str">
        <x:v>MPN待补齐；型号/数值按原设计保留；品牌待补齐；嘉立创料号待匹配；华秋料号待匹配</x:v>
      </x:c>
    </x:row>
    <x:row r="140" ht="48" customHeight="1">
      <x:c r="A140" s="13" t="str">
        <x:v>R7</x:v>
      </x:c>
      <x:c r="B140" s="13" t="str">
        <x:v>1MΩ</x:v>
      </x:c>
      <x:c r="C140" s="14" t="n">
        <x:v>1</x:v>
      </x:c>
      <x:c r="D140" s="13" t="str">
        <x:v>装配/计入采购</x:v>
      </x:c>
      <x:c r="E140" s="13" t="str"/>
      <x:c r="F140" s="13" t="str"/>
      <x:c r="G140" s="13" t="str">
        <x:v>Top</x:v>
      </x:c>
      <x:c r="H140" s="13" t="str">
        <x:v>Resistor_SMD:R_0603_1608Metric</x:v>
      </x:c>
      <x:c r="I140" s="13" t="str">
        <x:v>Resistor_SMD:R_0603_1608Metric</x:v>
      </x:c>
      <x:c r="J140" s="13" t="str"/>
      <x:c r="K140" s="13" t="str"/>
      <x:c r="L140" s="13" t="str">
        <x:v>/POWER/</x:v>
      </x:c>
      <x:c r="M140" s="13" t="str">
        <x:v>POWER.kicad_sch</x:v>
      </x:c>
      <x:c r="N140" s="13" t="str"/>
      <x:c r="O140" s="13" t="str">
        <x:v>Resistor, US symbol</x:v>
      </x:c>
      <x:c r="P140" s="13" t="str">
        <x:v>MPN待补齐；型号/数值按原设计保留；品牌待补齐；嘉立创料号待匹配；华秋料号待匹配</x:v>
      </x:c>
    </x:row>
    <x:row r="141" ht="48" customHeight="1">
      <x:c r="A141" s="9" t="str">
        <x:v>R8</x:v>
      </x:c>
      <x:c r="B141" s="9" t="str">
        <x:v>1MΩ</x:v>
      </x:c>
      <x:c r="C141" s="12" t="n">
        <x:v>1</x:v>
      </x:c>
      <x:c r="D141" s="9" t="str">
        <x:v>装配/计入采购</x:v>
      </x:c>
      <x:c r="E141" s="9" t="str"/>
      <x:c r="F141" s="9" t="str"/>
      <x:c r="G141" s="9" t="str">
        <x:v>Top</x:v>
      </x:c>
      <x:c r="H141" s="9" t="str">
        <x:v>Resistor_SMD:R_0603_1608Metric</x:v>
      </x:c>
      <x:c r="I141" s="9" t="str">
        <x:v>Resistor_SMD:R_0603_1608Metric</x:v>
      </x:c>
      <x:c r="J141" s="9" t="str"/>
      <x:c r="K141" s="9" t="str"/>
      <x:c r="L141" s="9" t="str">
        <x:v>/POWER/</x:v>
      </x:c>
      <x:c r="M141" s="9" t="str">
        <x:v>POWER.kicad_sch</x:v>
      </x:c>
      <x:c r="N141" s="9" t="str"/>
      <x:c r="O141" s="9" t="str">
        <x:v>Resistor, US symbol</x:v>
      </x:c>
      <x:c r="P141" s="9" t="str">
        <x:v>MPN待补齐；型号/数值按原设计保留；品牌待补齐；嘉立创料号待匹配；华秋料号待匹配</x:v>
      </x:c>
    </x:row>
    <x:row r="142" ht="48" customHeight="1">
      <x:c r="A142" s="13" t="str">
        <x:v>R9</x:v>
      </x:c>
      <x:c r="B142" s="13" t="str">
        <x:v>10k</x:v>
      </x:c>
      <x:c r="C142" s="14" t="n">
        <x:v>1</x:v>
      </x:c>
      <x:c r="D142" s="13" t="str">
        <x:v>装配/计入采购</x:v>
      </x:c>
      <x:c r="E142" s="13" t="str">
        <x:v>RC0603JR-0710KL</x:v>
      </x:c>
      <x:c r="F142" s="13" t="str">
        <x:v>YAGEO</x:v>
      </x:c>
      <x:c r="G142" s="13" t="str">
        <x:v>Top</x:v>
      </x:c>
      <x:c r="H142" s="13" t="str">
        <x:v>Resistor_SMD:R_0603_1608Metric</x:v>
      </x:c>
      <x:c r="I142" s="13" t="str">
        <x:v>Resistor_SMD:R_0603_1608Metric</x:v>
      </x:c>
      <x:c r="J142" s="13" t="str"/>
      <x:c r="K142" s="13" t="str"/>
      <x:c r="L142" s="13" t="str">
        <x:v>/POWER/</x:v>
      </x:c>
      <x:c r="M142" s="13" t="str">
        <x:v>POWER.kicad_sch</x:v>
      </x:c>
      <x:c r="N142" s="13" t="str">
        <x:v>Resistance=10k；Tolerance=5%</x:v>
      </x:c>
      <x:c r="O142" s="13" t="str">
        <x:v>Chip resistor 0603 (EIA), 10k ohm, 5%, 0.1W</x:v>
      </x:c>
      <x:c r="P142" s="13" t="str">
        <x:v>嘉立创料号待匹配；华秋料号待匹配</x:v>
      </x:c>
    </x:row>
    <x:row r="143" ht="48" customHeight="1">
      <x:c r="A143" s="9" t="str">
        <x:v>R10</x:v>
      </x:c>
      <x:c r="B143" s="9" t="str">
        <x:v>100k</x:v>
      </x:c>
      <x:c r="C143" s="12" t="n">
        <x:v>1</x:v>
      </x:c>
      <x:c r="D143" s="9" t="str">
        <x:v>装配/计入采购</x:v>
      </x:c>
      <x:c r="E143" s="9" t="str"/>
      <x:c r="F143" s="9" t="str"/>
      <x:c r="G143" s="9" t="str">
        <x:v>Top</x:v>
      </x:c>
      <x:c r="H143" s="9" t="str">
        <x:v>Resistor_SMD:R_0603_1608Metric</x:v>
      </x:c>
      <x:c r="I143" s="9" t="str">
        <x:v>Resistor_SMD:R_0603_1608Metric</x:v>
      </x:c>
      <x:c r="J143" s="9" t="str"/>
      <x:c r="K143" s="9" t="str"/>
      <x:c r="L143" s="9" t="str">
        <x:v>/POWER/</x:v>
      </x:c>
      <x:c r="M143" s="9" t="str">
        <x:v>POWER.kicad_sch</x:v>
      </x:c>
      <x:c r="N143" s="9" t="str"/>
      <x:c r="O143" s="9" t="str">
        <x:v>100k, 1%, feedback upper resistor; +3.3V to FB</x:v>
      </x:c>
      <x:c r="P143" s="9" t="str">
        <x:v>MPN待补齐；型号/数值按原设计保留；品牌待补齐；嘉立创料号待匹配；华秋料号待匹配</x:v>
      </x:c>
    </x:row>
    <x:row r="144" ht="48" customHeight="1">
      <x:c r="A144" s="13" t="str">
        <x:v>R11</x:v>
      </x:c>
      <x:c r="B144" s="13" t="str">
        <x:v>22.1k</x:v>
      </x:c>
      <x:c r="C144" s="14" t="n">
        <x:v>1</x:v>
      </x:c>
      <x:c r="D144" s="13" t="str">
        <x:v>装配/计入采购</x:v>
      </x:c>
      <x:c r="E144" s="13" t="str"/>
      <x:c r="F144" s="13" t="str"/>
      <x:c r="G144" s="13" t="str">
        <x:v>Top</x:v>
      </x:c>
      <x:c r="H144" s="13" t="str">
        <x:v>Resistor_SMD:R_0603_1608Metric</x:v>
      </x:c>
      <x:c r="I144" s="13" t="str">
        <x:v>Resistor_SMD:R_0603_1608Metric</x:v>
      </x:c>
      <x:c r="J144" s="13" t="str"/>
      <x:c r="K144" s="13" t="str"/>
      <x:c r="L144" s="13" t="str">
        <x:v>/POWER/</x:v>
      </x:c>
      <x:c r="M144" s="13" t="str">
        <x:v>POWER.kicad_sch</x:v>
      </x:c>
      <x:c r="N144" s="13" t="str"/>
      <x:c r="O144" s="13" t="str">
        <x:v>22.1k, 1%, feedback lower resistor; FB to GND</x:v>
      </x:c>
      <x:c r="P144" s="13" t="str">
        <x:v>MPN待补齐；型号/数值按原设计保留；品牌待补齐；嘉立创料号待匹配；华秋料号待匹配</x:v>
      </x:c>
    </x:row>
    <x:row r="145" ht="48" customHeight="1">
      <x:c r="A145" s="9" t="str">
        <x:v>R12</x:v>
      </x:c>
      <x:c r="B145" s="9" t="str">
        <x:v>0603WAF1003T5E</x:v>
      </x:c>
      <x:c r="C145" s="12" t="n">
        <x:v>0</x:v>
      </x:c>
      <x:c r="D145" s="15" t="str">
        <x:v>DNP不装配；原理图排除PCB；排除BOM；PCB中无封装</x:v>
      </x:c>
      <x:c r="E145" s="9" t="str">
        <x:v>0603WAF1003T5E</x:v>
      </x:c>
      <x:c r="F145" s="9" t="str">
        <x:v>Royal Electronic Factory</x:v>
      </x:c>
      <x:c r="G145" s="9" t="str"/>
      <x:c r="H145" s="9" t="str">
        <x:v>Resistor_SMD:R_0603_1608Metric</x:v>
      </x:c>
      <x:c r="I145" s="9" t="str">
        <x:v>Resistor_SMD:R_0603_1608Metric</x:v>
      </x:c>
      <x:c r="J145" s="9" t="str"/>
      <x:c r="K145" s="9" t="str">
        <x:v>G0063750</x:v>
      </x:c>
      <x:c r="L145" s="9" t="str">
        <x:v>/POWER/</x:v>
      </x:c>
      <x:c r="M145" s="9" t="str">
        <x:v>POWER.kicad_sch</x:v>
      </x:c>
      <x:c r="N145" s="9" t="str"/>
      <x:c r="O145" s="9" t="str">
        <x:v>Chip Resistors 0603 100KΩ ±1% 1/10W ±100ppm/℃</x:v>
      </x:c>
      <x:c r="P145" s="9" t="str"/>
    </x:row>
    <x:row r="146" ht="48" customHeight="1">
      <x:c r="A146" s="13" t="str">
        <x:v>R13</x:v>
      </x:c>
      <x:c r="B146" s="13" t="str">
        <x:v>RK73H1JTTD1804F</x:v>
      </x:c>
      <x:c r="C146" s="14" t="n">
        <x:v>0</x:v>
      </x:c>
      <x:c r="D146" s="16" t="str">
        <x:v>DNP不装配；原理图排除PCB；排除BOM；PCB中无封装</x:v>
      </x:c>
      <x:c r="E146" s="13" t="str">
        <x:v>RK73H1JTTD1804F</x:v>
      </x:c>
      <x:c r="F146" s="13" t="str">
        <x:v>KOA</x:v>
      </x:c>
      <x:c r="G146" s="13" t="str"/>
      <x:c r="H146" s="13" t="str">
        <x:v>Resistor_SMD:R_0603_1608Metric</x:v>
      </x:c>
      <x:c r="I146" s="13" t="str">
        <x:v>Resistor_SMD:R_0603_1608Metric</x:v>
      </x:c>
      <x:c r="J146" s="13" t="str"/>
      <x:c r="K146" s="13" t="str">
        <x:v>G5261393</x:v>
      </x:c>
      <x:c r="L146" s="13" t="str">
        <x:v>/POWER/</x:v>
      </x:c>
      <x:c r="M146" s="13" t="str">
        <x:v>POWER.kicad_sch</x:v>
      </x:c>
      <x:c r="N146" s="13" t="str"/>
      <x:c r="O146" s="13" t="str">
        <x:v>Chip SMD Resistors, 1.8 MΩ, 100 mW, 1 %, Thick Film, 0603</x:v>
      </x:c>
      <x:c r="P146" s="13" t="str"/>
    </x:row>
    <x:row r="147" ht="48" customHeight="1">
      <x:c r="A147" s="9" t="str">
        <x:v>R14</x:v>
      </x:c>
      <x:c r="B147" s="9" t="str">
        <x:v>10kΩ</x:v>
      </x:c>
      <x:c r="C147" s="12" t="n">
        <x:v>1</x:v>
      </x:c>
      <x:c r="D147" s="9" t="str">
        <x:v>装配/计入采购</x:v>
      </x:c>
      <x:c r="E147" s="9" t="str"/>
      <x:c r="F147" s="9" t="str"/>
      <x:c r="G147" s="9" t="str">
        <x:v>Top</x:v>
      </x:c>
      <x:c r="H147" s="9" t="str">
        <x:v>Resistor_SMD:R_0603_1608Metric</x:v>
      </x:c>
      <x:c r="I147" s="9" t="str">
        <x:v>Resistor_SMD:R_0603_1608Metric</x:v>
      </x:c>
      <x:c r="J147" s="9" t="str"/>
      <x:c r="K147" s="9" t="str"/>
      <x:c r="L147" s="9" t="str">
        <x:v>/MCU_Core/</x:v>
      </x:c>
      <x:c r="M147" s="9" t="str">
        <x:v>GD32F303VET6.kicad_sch</x:v>
      </x:c>
      <x:c r="N147" s="9" t="str"/>
      <x:c r="O147" s="9" t="str">
        <x:v>Resistor</x:v>
      </x:c>
      <x:c r="P147" s="9" t="str">
        <x:v>MPN待补齐；型号/数值按原设计保留；品牌待补齐；嘉立创料号待匹配；华秋料号待匹配</x:v>
      </x:c>
    </x:row>
    <x:row r="148" ht="48" customHeight="1">
      <x:c r="A148" s="13" t="str">
        <x:v>R15</x:v>
      </x:c>
      <x:c r="B148" s="13" t="str">
        <x:v>1MΩ</x:v>
      </x:c>
      <x:c r="C148" s="14" t="n">
        <x:v>1</x:v>
      </x:c>
      <x:c r="D148" s="13" t="str">
        <x:v>装配/计入采购</x:v>
      </x:c>
      <x:c r="E148" s="13" t="str"/>
      <x:c r="F148" s="13" t="str"/>
      <x:c r="G148" s="13" t="str">
        <x:v>Top</x:v>
      </x:c>
      <x:c r="H148" s="13" t="str">
        <x:v>Resistor_SMD:R_0603_1608Metric</x:v>
      </x:c>
      <x:c r="I148" s="13" t="str">
        <x:v>Resistor_SMD:R_0603_1608Metric</x:v>
      </x:c>
      <x:c r="J148" s="13" t="str"/>
      <x:c r="K148" s="13" t="str"/>
      <x:c r="L148" s="13" t="str">
        <x:v>/MCU_Core/</x:v>
      </x:c>
      <x:c r="M148" s="13" t="str">
        <x:v>GD32F303VET6.kicad_sch</x:v>
      </x:c>
      <x:c r="N148" s="13" t="str"/>
      <x:c r="O148" s="13" t="str">
        <x:v>Resistor</x:v>
      </x:c>
      <x:c r="P148" s="13" t="str">
        <x:v>MPN待补齐；型号/数值按原设计保留；品牌待补齐；嘉立创料号待匹配；华秋料号待匹配</x:v>
      </x:c>
    </x:row>
    <x:row r="149" ht="48" customHeight="1">
      <x:c r="A149" s="9" t="str">
        <x:v>R16</x:v>
      </x:c>
      <x:c r="B149" s="9" t="str">
        <x:v>10kΩ</x:v>
      </x:c>
      <x:c r="C149" s="12" t="n">
        <x:v>1</x:v>
      </x:c>
      <x:c r="D149" s="9" t="str">
        <x:v>装配/计入采购</x:v>
      </x:c>
      <x:c r="E149" s="9" t="str"/>
      <x:c r="F149" s="9" t="str"/>
      <x:c r="G149" s="9" t="str">
        <x:v>Top</x:v>
      </x:c>
      <x:c r="H149" s="9" t="str">
        <x:v>Resistor_SMD:R_0603_1608Metric</x:v>
      </x:c>
      <x:c r="I149" s="9" t="str">
        <x:v>Resistor_SMD:R_0603_1608Metric</x:v>
      </x:c>
      <x:c r="J149" s="9" t="str"/>
      <x:c r="K149" s="9" t="str"/>
      <x:c r="L149" s="9" t="str">
        <x:v>/MCU_Core/</x:v>
      </x:c>
      <x:c r="M149" s="9" t="str">
        <x:v>GD32F303VET6.kicad_sch</x:v>
      </x:c>
      <x:c r="N149" s="9" t="str"/>
      <x:c r="O149" s="9" t="str">
        <x:v>Resistor</x:v>
      </x:c>
      <x:c r="P149" s="9" t="str">
        <x:v>MPN待补齐；型号/数值按原设计保留；品牌待补齐；嘉立创料号待匹配；华秋料号待匹配</x:v>
      </x:c>
    </x:row>
    <x:row r="150" ht="48" customHeight="1">
      <x:c r="A150" s="13" t="str">
        <x:v>R17</x:v>
      </x:c>
      <x:c r="B150" s="13" t="str">
        <x:v>10kΩ</x:v>
      </x:c>
      <x:c r="C150" s="14" t="n">
        <x:v>1</x:v>
      </x:c>
      <x:c r="D150" s="13" t="str">
        <x:v>装配/计入采购</x:v>
      </x:c>
      <x:c r="E150" s="13" t="str"/>
      <x:c r="F150" s="13" t="str"/>
      <x:c r="G150" s="13" t="str">
        <x:v>Top</x:v>
      </x:c>
      <x:c r="H150" s="13" t="str">
        <x:v>Resistor_SMD:R_0603_1608Metric</x:v>
      </x:c>
      <x:c r="I150" s="13" t="str">
        <x:v>Resistor_SMD:R_0603_1608Metric</x:v>
      </x:c>
      <x:c r="J150" s="13" t="str"/>
      <x:c r="K150" s="13" t="str"/>
      <x:c r="L150" s="13" t="str">
        <x:v>/MCU_Core/</x:v>
      </x:c>
      <x:c r="M150" s="13" t="str">
        <x:v>GD32F303VET6.kicad_sch</x:v>
      </x:c>
      <x:c r="N150" s="13" t="str"/>
      <x:c r="O150" s="13" t="str">
        <x:v>Resistor</x:v>
      </x:c>
      <x:c r="P150" s="13" t="str">
        <x:v>MPN待补齐；型号/数值按原设计保留；品牌待补齐；嘉立创料号待匹配；华秋料号待匹配</x:v>
      </x:c>
    </x:row>
    <x:row r="151" ht="48" customHeight="1">
      <x:c r="A151" s="9" t="str">
        <x:v>R18</x:v>
      </x:c>
      <x:c r="B151" s="9" t="str">
        <x:v>10kΩ</x:v>
      </x:c>
      <x:c r="C151" s="12" t="n">
        <x:v>1</x:v>
      </x:c>
      <x:c r="D151" s="9" t="str">
        <x:v>装配/计入采购</x:v>
      </x:c>
      <x:c r="E151" s="9" t="str"/>
      <x:c r="F151" s="9" t="str"/>
      <x:c r="G151" s="9" t="str">
        <x:v>Top</x:v>
      </x:c>
      <x:c r="H151" s="9" t="str">
        <x:v>Resistor_SMD:R_0603_1608Metric</x:v>
      </x:c>
      <x:c r="I151" s="9" t="str">
        <x:v>Resistor_SMD:R_0603_1608Metric</x:v>
      </x:c>
      <x:c r="J151" s="9" t="str"/>
      <x:c r="K151" s="9" t="str"/>
      <x:c r="L151" s="9" t="str">
        <x:v>/MCU_Core/</x:v>
      </x:c>
      <x:c r="M151" s="9" t="str">
        <x:v>GD32F303VET6.kicad_sch</x:v>
      </x:c>
      <x:c r="N151" s="9" t="str"/>
      <x:c r="O151" s="9" t="str">
        <x:v>Resistor</x:v>
      </x:c>
      <x:c r="P151" s="9" t="str">
        <x:v>MPN待补齐；型号/数值按原设计保留；品牌待补齐；嘉立创料号待匹配；华秋料号待匹配</x:v>
      </x:c>
    </x:row>
    <x:row r="152" ht="48" customHeight="1">
      <x:c r="A152" s="13" t="str">
        <x:v>R19</x:v>
      </x:c>
      <x:c r="B152" s="13" t="str">
        <x:v>10kΩ</x:v>
      </x:c>
      <x:c r="C152" s="14" t="n">
        <x:v>1</x:v>
      </x:c>
      <x:c r="D152" s="13" t="str">
        <x:v>装配/计入采购</x:v>
      </x:c>
      <x:c r="E152" s="13" t="str"/>
      <x:c r="F152" s="13" t="str"/>
      <x:c r="G152" s="13" t="str">
        <x:v>Top</x:v>
      </x:c>
      <x:c r="H152" s="13" t="str">
        <x:v>Resistor_SMD:R_0603_1608Metric</x:v>
      </x:c>
      <x:c r="I152" s="13" t="str">
        <x:v>Resistor_SMD:R_0603_1608Metric</x:v>
      </x:c>
      <x:c r="J152" s="13" t="str"/>
      <x:c r="K152" s="13" t="str"/>
      <x:c r="L152" s="13" t="str">
        <x:v>/MCU_Core/</x:v>
      </x:c>
      <x:c r="M152" s="13" t="str">
        <x:v>GD32F303VET6.kicad_sch</x:v>
      </x:c>
      <x:c r="N152" s="13" t="str"/>
      <x:c r="O152" s="13" t="str">
        <x:v>Resistor</x:v>
      </x:c>
      <x:c r="P152" s="13" t="str">
        <x:v>MPN待补齐；型号/数值按原设计保留；品牌待补齐；嘉立创料号待匹配；华秋料号待匹配</x:v>
      </x:c>
    </x:row>
    <x:row r="153" ht="48" customHeight="1">
      <x:c r="A153" s="9" t="str">
        <x:v>R20</x:v>
      </x:c>
      <x:c r="B153" s="9" t="str">
        <x:v>10kΩ</x:v>
      </x:c>
      <x:c r="C153" s="12" t="n">
        <x:v>1</x:v>
      </x:c>
      <x:c r="D153" s="9" t="str">
        <x:v>装配/计入采购</x:v>
      </x:c>
      <x:c r="E153" s="9" t="str"/>
      <x:c r="F153" s="9" t="str"/>
      <x:c r="G153" s="9" t="str">
        <x:v>Top</x:v>
      </x:c>
      <x:c r="H153" s="9" t="str">
        <x:v>Resistor_SMD:R_0603_1608Metric</x:v>
      </x:c>
      <x:c r="I153" s="9" t="str">
        <x:v>Resistor_SMD:R_0603_1608Metric</x:v>
      </x:c>
      <x:c r="J153" s="9" t="str"/>
      <x:c r="K153" s="9" t="str"/>
      <x:c r="L153" s="9" t="str">
        <x:v>/MCU_Core/</x:v>
      </x:c>
      <x:c r="M153" s="9" t="str">
        <x:v>GD32F303VET6.kicad_sch</x:v>
      </x:c>
      <x:c r="N153" s="9" t="str"/>
      <x:c r="O153" s="9" t="str">
        <x:v>Resistor</x:v>
      </x:c>
      <x:c r="P153" s="9" t="str">
        <x:v>MPN待补齐；型号/数值按原设计保留；品牌待补齐；嘉立创料号待匹配；华秋料号待匹配</x:v>
      </x:c>
    </x:row>
    <x:row r="154" ht="48" customHeight="1">
      <x:c r="A154" s="13" t="str">
        <x:v>R21</x:v>
      </x:c>
      <x:c r="B154" s="13" t="str">
        <x:v>0603WAF1200T5E</x:v>
      </x:c>
      <x:c r="C154" s="14" t="n">
        <x:v>0</x:v>
      </x:c>
      <x:c r="D154" s="16" t="str">
        <x:v>DNP不装配；原理图排除PCB；排除BOM；PCB中无封装</x:v>
      </x:c>
      <x:c r="E154" s="13" t="str">
        <x:v>0603WAF1200T5E</x:v>
      </x:c>
      <x:c r="F154" s="13" t="str">
        <x:v>Royal Electronic Factory</x:v>
      </x:c>
      <x:c r="G154" s="13" t="str"/>
      <x:c r="H154" s="13" t="str">
        <x:v>Resistor_SMD:R_0603_1608Metric</x:v>
      </x:c>
      <x:c r="I154" s="13" t="str">
        <x:v>Resistor_SMD:R_0603_1608Metric</x:v>
      </x:c>
      <x:c r="J154" s="13" t="str"/>
      <x:c r="K154" s="13" t="str">
        <x:v>G0067010</x:v>
      </x:c>
      <x:c r="L154" s="13" t="str">
        <x:v>/CAN/</x:v>
      </x:c>
      <x:c r="M154" s="13" t="str">
        <x:v>CAN.kicad_sch</x:v>
      </x:c>
      <x:c r="N154" s="13" t="str"/>
      <x:c r="O154" s="13" t="str">
        <x:v>Chip Resistors 0603 120Ω ±1% 1/10W ±100ppm/℃</x:v>
      </x:c>
      <x:c r="P154" s="13" t="str"/>
    </x:row>
    <x:row r="155" ht="48" customHeight="1">
      <x:c r="A155" s="9" t="str">
        <x:v>R22</x:v>
      </x:c>
      <x:c r="B155" s="9" t="str">
        <x:v>100</x:v>
      </x:c>
      <x:c r="C155" s="12" t="n">
        <x:v>0</x:v>
      </x:c>
      <x:c r="D155" s="15" t="str">
        <x:v>DNP不装配；原理图排除PCB；排除BOM；PCB中无封装</x:v>
      </x:c>
      <x:c r="E155" s="9" t="str">
        <x:v>ERJPA3F1000V</x:v>
      </x:c>
      <x:c r="F155" s="9" t="str">
        <x:v>Panasonic</x:v>
      </x:c>
      <x:c r="G155" s="9" t="str"/>
      <x:c r="H155" s="9" t="str">
        <x:v>Resistor_SMD:R_0603_1608Metric</x:v>
      </x:c>
      <x:c r="I155" s="9" t="str">
        <x:v>Resistor_SMD:R_0603_1608Metric</x:v>
      </x:c>
      <x:c r="J155" s="9" t="str"/>
      <x:c r="K155" s="9" t="str"/>
      <x:c r="L155" s="9" t="str">
        <x:v>/RS232/</x:v>
      </x:c>
      <x:c r="M155" s="9" t="str">
        <x:v>RS232.kicad_sch</x:v>
      </x:c>
      <x:c r="N155" s="9" t="str">
        <x:v>Resistance=100；Tolerance=1%</x:v>
      </x:c>
      <x:c r="O155" s="9" t="str">
        <x:v>Chip resistor 0603 (EIA), 100 ohm, 1%, 0.33W</x:v>
      </x:c>
      <x:c r="P155" s="9" t="str"/>
    </x:row>
    <x:row r="156" ht="48" customHeight="1">
      <x:c r="A156" s="13" t="str">
        <x:v>R23</x:v>
      </x:c>
      <x:c r="B156" s="13" t="str">
        <x:v>100</x:v>
      </x:c>
      <x:c r="C156" s="14" t="n">
        <x:v>0</x:v>
      </x:c>
      <x:c r="D156" s="16" t="str">
        <x:v>DNP不装配；原理图排除PCB；排除BOM；PCB中无封装</x:v>
      </x:c>
      <x:c r="E156" s="13" t="str">
        <x:v>ERJPA3F1000V</x:v>
      </x:c>
      <x:c r="F156" s="13" t="str">
        <x:v>Panasonic</x:v>
      </x:c>
      <x:c r="G156" s="13" t="str"/>
      <x:c r="H156" s="13" t="str">
        <x:v>Resistor_SMD:R_0603_1608Metric</x:v>
      </x:c>
      <x:c r="I156" s="13" t="str">
        <x:v>Resistor_SMD:R_0603_1608Metric</x:v>
      </x:c>
      <x:c r="J156" s="13" t="str"/>
      <x:c r="K156" s="13" t="str"/>
      <x:c r="L156" s="13" t="str">
        <x:v>/RS232/</x:v>
      </x:c>
      <x:c r="M156" s="13" t="str">
        <x:v>RS232.kicad_sch</x:v>
      </x:c>
      <x:c r="N156" s="13" t="str">
        <x:v>Resistance=100；Tolerance=1%</x:v>
      </x:c>
      <x:c r="O156" s="13" t="str">
        <x:v>Chip resistor 0603 (EIA), 100 ohm, 1%, 0.33W</x:v>
      </x:c>
      <x:c r="P156" s="13" t="str"/>
    </x:row>
    <x:row r="157" ht="48" customHeight="1">
      <x:c r="A157" s="9" t="str">
        <x:v>R24</x:v>
      </x:c>
      <x:c r="B157" s="9" t="str">
        <x:v>R_US</x:v>
      </x:c>
      <x:c r="C157" s="12" t="n">
        <x:v>0</x:v>
      </x:c>
      <x:c r="D157" s="15" t="str">
        <x:v>DNP不装配；原理图排除PCB；PCB中无封装</x:v>
      </x:c>
      <x:c r="E157" s="9" t="str"/>
      <x:c r="F157" s="9" t="str"/>
      <x:c r="G157" s="9" t="str"/>
      <x:c r="H157" s="9" t="str">
        <x:v>Resistor_SMD:R_0603_1608Metric</x:v>
      </x:c>
      <x:c r="I157" s="9" t="str">
        <x:v>Resistor_SMD:R_0603_1608Metric</x:v>
      </x:c>
      <x:c r="J157" s="9" t="str"/>
      <x:c r="K157" s="9" t="str"/>
      <x:c r="L157" s="9" t="str">
        <x:v>/RS485/</x:v>
      </x:c>
      <x:c r="M157" s="9" t="str">
        <x:v>RS485.kicad_sch</x:v>
      </x:c>
      <x:c r="N157" s="9" t="str"/>
      <x:c r="O157" s="9" t="str">
        <x:v>Resistor, US symbol</x:v>
      </x:c>
      <x:c r="P157" s="9" t="str"/>
    </x:row>
    <x:row r="158" ht="48" customHeight="1">
      <x:c r="A158" s="13" t="str">
        <x:v>R25</x:v>
      </x:c>
      <x:c r="B158" s="13" t="str">
        <x:v>360</x:v>
      </x:c>
      <x:c r="C158" s="14" t="n">
        <x:v>1</x:v>
      </x:c>
      <x:c r="D158" s="13" t="str">
        <x:v>装配/计入采购</x:v>
      </x:c>
      <x:c r="E158" s="13" t="str"/>
      <x:c r="F158" s="13" t="str"/>
      <x:c r="G158" s="13" t="str">
        <x:v>Top</x:v>
      </x:c>
      <x:c r="H158" s="13" t="str">
        <x:v>Resistor_SMD:R_0603_1608Metric</x:v>
      </x:c>
      <x:c r="I158" s="13" t="str">
        <x:v>Resistor_SMD:R_0603_1608Metric</x:v>
      </x:c>
      <x:c r="J158" s="13" t="str"/>
      <x:c r="K158" s="13" t="str"/>
      <x:c r="L158" s="13" t="str">
        <x:v>/RS485/</x:v>
      </x:c>
      <x:c r="M158" s="13" t="str">
        <x:v>RS485.kicad_sch</x:v>
      </x:c>
      <x:c r="N158" s="13" t="str"/>
      <x:c r="O158" s="13" t="str">
        <x:v>Resistor, US symbol</x:v>
      </x:c>
      <x:c r="P158" s="13" t="str">
        <x:v>MPN待补齐；型号/数值按原设计保留；品牌待补齐；嘉立创料号待匹配；华秋料号待匹配</x:v>
      </x:c>
    </x:row>
    <x:row r="159" ht="48" customHeight="1">
      <x:c r="A159" s="9" t="str">
        <x:v>R26</x:v>
      </x:c>
      <x:c r="B159" s="9" t="str">
        <x:v>360</x:v>
      </x:c>
      <x:c r="C159" s="12" t="n">
        <x:v>1</x:v>
      </x:c>
      <x:c r="D159" s="9" t="str">
        <x:v>装配/计入采购</x:v>
      </x:c>
      <x:c r="E159" s="9" t="str"/>
      <x:c r="F159" s="9" t="str"/>
      <x:c r="G159" s="9" t="str">
        <x:v>Top</x:v>
      </x:c>
      <x:c r="H159" s="9" t="str">
        <x:v>Resistor_SMD:R_0603_1608Metric</x:v>
      </x:c>
      <x:c r="I159" s="9" t="str">
        <x:v>Resistor_SMD:R_0603_1608Metric</x:v>
      </x:c>
      <x:c r="J159" s="9" t="str"/>
      <x:c r="K159" s="9" t="str"/>
      <x:c r="L159" s="9" t="str">
        <x:v>/RS485/</x:v>
      </x:c>
      <x:c r="M159" s="9" t="str">
        <x:v>RS485.kicad_sch</x:v>
      </x:c>
      <x:c r="N159" s="9" t="str"/>
      <x:c r="O159" s="9" t="str">
        <x:v>Resistor, US symbol</x:v>
      </x:c>
      <x:c r="P159" s="9" t="str">
        <x:v>MPN待补齐；型号/数值按原设计保留；品牌待补齐；嘉立创料号待匹配；华秋料号待匹配</x:v>
      </x:c>
    </x:row>
    <x:row r="160" ht="48" customHeight="1">
      <x:c r="A160" s="13" t="str">
        <x:v>R27</x:v>
      </x:c>
      <x:c r="B160" s="13" t="str">
        <x:v>CRCW0603120RFKEA</x:v>
      </x:c>
      <x:c r="C160" s="14" t="n">
        <x:v>1</x:v>
      </x:c>
      <x:c r="D160" s="13" t="str">
        <x:v>装配/计入采购</x:v>
      </x:c>
      <x:c r="E160" s="13" t="str">
        <x:v>CRCW0603120RFKEA</x:v>
      </x:c>
      <x:c r="F160" s="13" t="str">
        <x:v>Vishay</x:v>
      </x:c>
      <x:c r="G160" s="13" t="str">
        <x:v>Top</x:v>
      </x:c>
      <x:c r="H160" s="13" t="str">
        <x:v>Resistor_SMD:R_0603_1608Metric</x:v>
      </x:c>
      <x:c r="I160" s="13" t="str">
        <x:v>Resistor_SMD:R_0603_1608Metric</x:v>
      </x:c>
      <x:c r="J160" s="13" t="str"/>
      <x:c r="K160" s="13" t="str">
        <x:v>G0017658</x:v>
      </x:c>
      <x:c r="L160" s="13" t="str">
        <x:v>/RS485/</x:v>
      </x:c>
      <x:c r="M160" s="13" t="str">
        <x:v>RS485.kicad_sch</x:v>
      </x:c>
      <x:c r="N160" s="13" t="str"/>
      <x:c r="O160" s="13" t="str">
        <x:v>Chip SMD Resistors, 120 Ω, 100 mW, 1 %, Thick Film, 0603</x:v>
      </x:c>
      <x:c r="P160" s="13" t="str">
        <x:v>嘉立创料号待匹配</x:v>
      </x:c>
    </x:row>
    <x:row r="161" ht="48" customHeight="1">
      <x:c r="A161" s="9" t="str">
        <x:v>R28</x:v>
      </x:c>
      <x:c r="B161" s="9" t="str">
        <x:v>1k</x:v>
      </x:c>
      <x:c r="C161" s="12" t="n">
        <x:v>1</x:v>
      </x:c>
      <x:c r="D161" s="9" t="str">
        <x:v>装配/计入采购</x:v>
      </x:c>
      <x:c r="E161" s="9" t="str"/>
      <x:c r="F161" s="9" t="str"/>
      <x:c r="G161" s="9" t="str">
        <x:v>Top</x:v>
      </x:c>
      <x:c r="H161" s="9" t="str">
        <x:v>Resistor_SMD:R_0603_1608Metric</x:v>
      </x:c>
      <x:c r="I161" s="9" t="str">
        <x:v>Resistor_SMD:R_0603_1608Metric</x:v>
      </x:c>
      <x:c r="J161" s="9" t="str"/>
      <x:c r="K161" s="9" t="str"/>
      <x:c r="L161" s="9" t="str">
        <x:v>/RS485/</x:v>
      </x:c>
      <x:c r="M161" s="9" t="str">
        <x:v>RS485.kicad_sch</x:v>
      </x:c>
      <x:c r="N161" s="9" t="str">
        <x:v>Tolerance=1%</x:v>
      </x:c>
      <x:c r="O161" s="9" t="str">
        <x:v>Resistor, US symbol</x:v>
      </x:c>
      <x:c r="P161" s="9" t="str">
        <x:v>MPN待补齐；型号/数值按原设计保留；品牌待补齐；嘉立创料号待匹配；华秋料号待匹配</x:v>
      </x:c>
    </x:row>
    <x:row r="162" ht="48" customHeight="1">
      <x:c r="A162" s="13" t="str">
        <x:v>R29</x:v>
      </x:c>
      <x:c r="B162" s="13" t="str">
        <x:v>AF0603JR-0710KL</x:v>
      </x:c>
      <x:c r="C162" s="14" t="n">
        <x:v>1</x:v>
      </x:c>
      <x:c r="D162" s="13" t="str">
        <x:v>装配/计入采购</x:v>
      </x:c>
      <x:c r="E162" s="13" t="str">
        <x:v>AF0603JR-0710KL</x:v>
      </x:c>
      <x:c r="F162" s="13" t="str">
        <x:v>Yageo</x:v>
      </x:c>
      <x:c r="G162" s="13" t="str">
        <x:v>Top</x:v>
      </x:c>
      <x:c r="H162" s="13" t="str">
        <x:v>Resistor_SMD:R_0603_1608Metric</x:v>
      </x:c>
      <x:c r="I162" s="13" t="str">
        <x:v>Resistor_SMD:R_0603_1608Metric</x:v>
      </x:c>
      <x:c r="J162" s="13" t="str"/>
      <x:c r="K162" s="13" t="str">
        <x:v>G6606958</x:v>
      </x:c>
      <x:c r="L162" s="13" t="str">
        <x:v>/RS485/</x:v>
      </x:c>
      <x:c r="M162" s="13" t="str">
        <x:v>RS485.kicad_sch</x:v>
      </x:c>
      <x:c r="N162" s="13" t="str"/>
      <x:c r="O162" s="13" t="str">
        <x:v>Chip SMD Resistors, 10 kΩ, 100 mW, 0.05, Thick Film, 0603</x:v>
      </x:c>
      <x:c r="P162" s="13" t="str">
        <x:v>嘉立创料号待匹配</x:v>
      </x:c>
    </x:row>
    <x:row r="163" ht="48" customHeight="1">
      <x:c r="A163" s="9" t="str">
        <x:v>R30</x:v>
      </x:c>
      <x:c r="B163" s="9" t="str">
        <x:v>AF0603JR-0710KL</x:v>
      </x:c>
      <x:c r="C163" s="12" t="n">
        <x:v>1</x:v>
      </x:c>
      <x:c r="D163" s="9" t="str">
        <x:v>装配/计入采购</x:v>
      </x:c>
      <x:c r="E163" s="9" t="str">
        <x:v>AF0603JR-0710KL</x:v>
      </x:c>
      <x:c r="F163" s="9" t="str">
        <x:v>Yageo</x:v>
      </x:c>
      <x:c r="G163" s="9" t="str">
        <x:v>Top</x:v>
      </x:c>
      <x:c r="H163" s="9" t="str">
        <x:v>Resistor_SMD:R_0603_1608Metric</x:v>
      </x:c>
      <x:c r="I163" s="9" t="str">
        <x:v>Resistor_SMD:R_0603_1608Metric</x:v>
      </x:c>
      <x:c r="J163" s="9" t="str"/>
      <x:c r="K163" s="9" t="str">
        <x:v>G6606958</x:v>
      </x:c>
      <x:c r="L163" s="9" t="str">
        <x:v>/RS485/</x:v>
      </x:c>
      <x:c r="M163" s="9" t="str">
        <x:v>RS485.kicad_sch</x:v>
      </x:c>
      <x:c r="N163" s="9" t="str"/>
      <x:c r="O163" s="9" t="str">
        <x:v>Chip SMD Resistors, 10 kΩ, 100 mW, 0.05, Thick Film, 0603</x:v>
      </x:c>
      <x:c r="P163" s="9" t="str">
        <x:v>嘉立创料号待匹配</x:v>
      </x:c>
    </x:row>
    <x:row r="164" ht="48" customHeight="1">
      <x:c r="A164" s="13" t="str">
        <x:v>R31</x:v>
      </x:c>
      <x:c r="B164" s="13" t="str">
        <x:v>330</x:v>
      </x:c>
      <x:c r="C164" s="14" t="n">
        <x:v>1</x:v>
      </x:c>
      <x:c r="D164" s="13" t="str">
        <x:v>装配/计入采购</x:v>
      </x:c>
      <x:c r="E164" s="13" t="str"/>
      <x:c r="F164" s="13" t="str"/>
      <x:c r="G164" s="13" t="str">
        <x:v>Top</x:v>
      </x:c>
      <x:c r="H164" s="13" t="str">
        <x:v>Resistor_SMD:R_0603_1608Metric</x:v>
      </x:c>
      <x:c r="I164" s="13" t="str">
        <x:v>Resistor_SMD:R_0603_1608Metric</x:v>
      </x:c>
      <x:c r="J164" s="13" t="str"/>
      <x:c r="K164" s="13" t="str"/>
      <x:c r="L164" s="13" t="str">
        <x:v>/RS485/</x:v>
      </x:c>
      <x:c r="M164" s="13" t="str">
        <x:v>RS485.kicad_sch</x:v>
      </x:c>
      <x:c r="N164" s="13" t="str">
        <x:v>Tolerance=1%</x:v>
      </x:c>
      <x:c r="O164" s="13" t="str">
        <x:v>Resistor, US symbol</x:v>
      </x:c>
      <x:c r="P164" s="13" t="str">
        <x:v>MPN待补齐；型号/数值按原设计保留；品牌待补齐；嘉立创料号待匹配；华秋料号待匹配</x:v>
      </x:c>
    </x:row>
    <x:row r="165" ht="48" customHeight="1">
      <x:c r="A165" s="9" t="str">
        <x:v>R32</x:v>
      </x:c>
      <x:c r="B165" s="9" t="str">
        <x:v>4.7k</x:v>
      </x:c>
      <x:c r="C165" s="12" t="n">
        <x:v>1</x:v>
      </x:c>
      <x:c r="D165" s="9" t="str">
        <x:v>装配/计入采购</x:v>
      </x:c>
      <x:c r="E165" s="9" t="str"/>
      <x:c r="F165" s="9" t="str"/>
      <x:c r="G165" s="9" t="str">
        <x:v>Top</x:v>
      </x:c>
      <x:c r="H165" s="9" t="str">
        <x:v>Resistor_SMD:R_0603_1608Metric</x:v>
      </x:c>
      <x:c r="I165" s="9" t="str">
        <x:v>Resistor_SMD:R_0603_1608Metric</x:v>
      </x:c>
      <x:c r="J165" s="9" t="str"/>
      <x:c r="K165" s="9" t="str"/>
      <x:c r="L165" s="9" t="str">
        <x:v>/RS485/</x:v>
      </x:c>
      <x:c r="M165" s="9" t="str">
        <x:v>RS485.kicad_sch</x:v>
      </x:c>
      <x:c r="N165" s="9" t="str">
        <x:v>Tolerance=1%</x:v>
      </x:c>
      <x:c r="O165" s="9" t="str">
        <x:v>Resistor, US symbol</x:v>
      </x:c>
      <x:c r="P165" s="9" t="str">
        <x:v>MPN待补齐；型号/数值按原设计保留；品牌待补齐；嘉立创料号待匹配；华秋料号待匹配</x:v>
      </x:c>
    </x:row>
    <x:row r="166" ht="48" customHeight="1">
      <x:c r="A166" s="13" t="str">
        <x:v>R33</x:v>
      </x:c>
      <x:c r="B166" s="13" t="str">
        <x:v>1k</x:v>
      </x:c>
      <x:c r="C166" s="14" t="n">
        <x:v>1</x:v>
      </x:c>
      <x:c r="D166" s="13" t="str">
        <x:v>装配/计入采购</x:v>
      </x:c>
      <x:c r="E166" s="13" t="str"/>
      <x:c r="F166" s="13" t="str"/>
      <x:c r="G166" s="13" t="str">
        <x:v>Top</x:v>
      </x:c>
      <x:c r="H166" s="13" t="str">
        <x:v>Resistor_SMD:R_0603_1608Metric</x:v>
      </x:c>
      <x:c r="I166" s="13" t="str">
        <x:v>Resistor_SMD:R_0603_1608Metric</x:v>
      </x:c>
      <x:c r="J166" s="13" t="str"/>
      <x:c r="K166" s="13" t="str"/>
      <x:c r="L166" s="13" t="str">
        <x:v>/MCU_Core/Motor_Comm/</x:v>
      </x:c>
      <x:c r="M166" s="13" t="str">
        <x:v>Motor_Comm.kicad_sch</x:v>
      </x:c>
      <x:c r="N166" s="13" t="str"/>
      <x:c r="O166" s="13" t="str"/>
      <x:c r="P166" s="13" t="str">
        <x:v>MPN待补齐；型号/数值按原设计保留；品牌待补齐；嘉立创料号待匹配；华秋料号待匹配</x:v>
      </x:c>
    </x:row>
    <x:row r="167" ht="48" customHeight="1">
      <x:c r="A167" s="9" t="str">
        <x:v>R34</x:v>
      </x:c>
      <x:c r="B167" s="9" t="str">
        <x:v>2.2k</x:v>
      </x:c>
      <x:c r="C167" s="12" t="n">
        <x:v>1</x:v>
      </x:c>
      <x:c r="D167" s="9" t="str">
        <x:v>装配/计入采购</x:v>
      </x:c>
      <x:c r="E167" s="9" t="str"/>
      <x:c r="F167" s="9" t="str"/>
      <x:c r="G167" s="9" t="str">
        <x:v>Top</x:v>
      </x:c>
      <x:c r="H167" s="9" t="str">
        <x:v>Resistor_SMD:R_0603_1608Metric</x:v>
      </x:c>
      <x:c r="I167" s="9" t="str">
        <x:v>Resistor_SMD:R_0603_1608Metric</x:v>
      </x:c>
      <x:c r="J167" s="9" t="str"/>
      <x:c r="K167" s="9" t="str"/>
      <x:c r="L167" s="9" t="str">
        <x:v>/MCU_Core/Motor_Comm/</x:v>
      </x:c>
      <x:c r="M167" s="9" t="str">
        <x:v>Motor_Comm.kicad_sch</x:v>
      </x:c>
      <x:c r="N167" s="9" t="str"/>
      <x:c r="O167" s="9" t="str"/>
      <x:c r="P167" s="9" t="str">
        <x:v>MPN待补齐；型号/数值按原设计保留；品牌待补齐；嘉立创料号待匹配；华秋料号待匹配</x:v>
      </x:c>
    </x:row>
    <x:row r="168" ht="48" customHeight="1">
      <x:c r="A168" s="13" t="str">
        <x:v>R35</x:v>
      </x:c>
      <x:c r="B168" s="13" t="str">
        <x:v>1k</x:v>
      </x:c>
      <x:c r="C168" s="14" t="n">
        <x:v>1</x:v>
      </x:c>
      <x:c r="D168" s="13" t="str">
        <x:v>装配/计入采购</x:v>
      </x:c>
      <x:c r="E168" s="13" t="str"/>
      <x:c r="F168" s="13" t="str"/>
      <x:c r="G168" s="13" t="str">
        <x:v>Top</x:v>
      </x:c>
      <x:c r="H168" s="13" t="str">
        <x:v>Resistor_SMD:R_0603_1608Metric</x:v>
      </x:c>
      <x:c r="I168" s="13" t="str">
        <x:v>Resistor_SMD:R_0603_1608Metric</x:v>
      </x:c>
      <x:c r="J168" s="13" t="str"/>
      <x:c r="K168" s="13" t="str"/>
      <x:c r="L168" s="13" t="str">
        <x:v>/MCU_Core/Motor_Comm/</x:v>
      </x:c>
      <x:c r="M168" s="13" t="str">
        <x:v>Motor_Comm.kicad_sch</x:v>
      </x:c>
      <x:c r="N168" s="13" t="str"/>
      <x:c r="O168" s="13" t="str"/>
      <x:c r="P168" s="13" t="str">
        <x:v>MPN待补齐；型号/数值按原设计保留；品牌待补齐；嘉立创料号待匹配；华秋料号待匹配</x:v>
      </x:c>
    </x:row>
    <x:row r="169" ht="48" customHeight="1">
      <x:c r="A169" s="9" t="str">
        <x:v>R36</x:v>
      </x:c>
      <x:c r="B169" s="9" t="str">
        <x:v>2.2k</x:v>
      </x:c>
      <x:c r="C169" s="12" t="n">
        <x:v>1</x:v>
      </x:c>
      <x:c r="D169" s="9" t="str">
        <x:v>装配/计入采购</x:v>
      </x:c>
      <x:c r="E169" s="9" t="str"/>
      <x:c r="F169" s="9" t="str"/>
      <x:c r="G169" s="9" t="str">
        <x:v>Top</x:v>
      </x:c>
      <x:c r="H169" s="9" t="str">
        <x:v>Resistor_SMD:R_0603_1608Metric</x:v>
      </x:c>
      <x:c r="I169" s="9" t="str">
        <x:v>Resistor_SMD:R_0603_1608Metric</x:v>
      </x:c>
      <x:c r="J169" s="9" t="str"/>
      <x:c r="K169" s="9" t="str"/>
      <x:c r="L169" s="9" t="str">
        <x:v>/MCU_Core/Motor_Comm/</x:v>
      </x:c>
      <x:c r="M169" s="9" t="str">
        <x:v>Motor_Comm.kicad_sch</x:v>
      </x:c>
      <x:c r="N169" s="9" t="str"/>
      <x:c r="O169" s="9" t="str"/>
      <x:c r="P169" s="9" t="str">
        <x:v>MPN待补齐；型号/数值按原设计保留；品牌待补齐；嘉立创料号待匹配；华秋料号待匹配</x:v>
      </x:c>
    </x:row>
    <x:row r="170" ht="48" customHeight="1">
      <x:c r="A170" s="13" t="str">
        <x:v>R37</x:v>
      </x:c>
      <x:c r="B170" s="13" t="str">
        <x:v>10k</x:v>
      </x:c>
      <x:c r="C170" s="14" t="n">
        <x:v>1</x:v>
      </x:c>
      <x:c r="D170" s="13" t="str">
        <x:v>装配/计入采购</x:v>
      </x:c>
      <x:c r="E170" s="13" t="str"/>
      <x:c r="F170" s="13" t="str"/>
      <x:c r="G170" s="13" t="str">
        <x:v>Top</x:v>
      </x:c>
      <x:c r="H170" s="13" t="str">
        <x:v>Resistor_SMD:R_0603_1608Metric</x:v>
      </x:c>
      <x:c r="I170" s="13" t="str">
        <x:v>Resistor_SMD:R_0603_1608Metric</x:v>
      </x:c>
      <x:c r="J170" s="13" t="str"/>
      <x:c r="K170" s="13" t="str"/>
      <x:c r="L170" s="13" t="str">
        <x:v>/MCU_Core/Motor_Comm/</x:v>
      </x:c>
      <x:c r="M170" s="13" t="str">
        <x:v>Motor_Comm.kicad_sch</x:v>
      </x:c>
      <x:c r="N170" s="13" t="str"/>
      <x:c r="O170" s="13" t="str"/>
      <x:c r="P170" s="13" t="str">
        <x:v>MPN待补齐；型号/数值按原设计保留；品牌待补齐；嘉立创料号待匹配；华秋料号待匹配</x:v>
      </x:c>
    </x:row>
    <x:row r="171" ht="48" customHeight="1">
      <x:c r="A171" s="9" t="str">
        <x:v>R38</x:v>
      </x:c>
      <x:c r="B171" s="9" t="str">
        <x:v>10k</x:v>
      </x:c>
      <x:c r="C171" s="12" t="n">
        <x:v>1</x:v>
      </x:c>
      <x:c r="D171" s="9" t="str">
        <x:v>装配/计入采购</x:v>
      </x:c>
      <x:c r="E171" s="9" t="str"/>
      <x:c r="F171" s="9" t="str"/>
      <x:c r="G171" s="9" t="str">
        <x:v>Top</x:v>
      </x:c>
      <x:c r="H171" s="9" t="str">
        <x:v>Resistor_SMD:R_0603_1608Metric</x:v>
      </x:c>
      <x:c r="I171" s="9" t="str">
        <x:v>Resistor_SMD:R_0603_1608Metric</x:v>
      </x:c>
      <x:c r="J171" s="9" t="str"/>
      <x:c r="K171" s="9" t="str"/>
      <x:c r="L171" s="9" t="str">
        <x:v>/MCU_Core/Motor_Comm/</x:v>
      </x:c>
      <x:c r="M171" s="9" t="str">
        <x:v>Motor_Comm.kicad_sch</x:v>
      </x:c>
      <x:c r="N171" s="9" t="str"/>
      <x:c r="O171" s="9" t="str"/>
      <x:c r="P171" s="9" t="str">
        <x:v>MPN待补齐；型号/数值按原设计保留；品牌待补齐；嘉立创料号待匹配；华秋料号待匹配</x:v>
      </x:c>
    </x:row>
    <x:row r="172" ht="48" customHeight="1">
      <x:c r="A172" s="13" t="str">
        <x:v>R39</x:v>
      </x:c>
      <x:c r="B172" s="13" t="str">
        <x:v>10k</x:v>
      </x:c>
      <x:c r="C172" s="14" t="n">
        <x:v>1</x:v>
      </x:c>
      <x:c r="D172" s="13" t="str">
        <x:v>装配/计入采购</x:v>
      </x:c>
      <x:c r="E172" s="13" t="str"/>
      <x:c r="F172" s="13" t="str"/>
      <x:c r="G172" s="13" t="str">
        <x:v>Top</x:v>
      </x:c>
      <x:c r="H172" s="13" t="str">
        <x:v>Resistor_SMD:R_0603_1608Metric</x:v>
      </x:c>
      <x:c r="I172" s="13" t="str">
        <x:v>Resistor_SMD:R_0603_1608Metric</x:v>
      </x:c>
      <x:c r="J172" s="13" t="str"/>
      <x:c r="K172" s="13" t="str"/>
      <x:c r="L172" s="13" t="str">
        <x:v>/MCU_Core/Motor_Comm/</x:v>
      </x:c>
      <x:c r="M172" s="13" t="str">
        <x:v>Motor_Comm.kicad_sch</x:v>
      </x:c>
      <x:c r="N172" s="13" t="str"/>
      <x:c r="O172" s="13" t="str"/>
      <x:c r="P172" s="13" t="str">
        <x:v>MPN待补齐；型号/数值按原设计保留；品牌待补齐；嘉立创料号待匹配；华秋料号待匹配</x:v>
      </x:c>
    </x:row>
    <x:row r="173" ht="48" customHeight="1">
      <x:c r="A173" s="9" t="str">
        <x:v>R40</x:v>
      </x:c>
      <x:c r="B173" s="9" t="str">
        <x:v>10k</x:v>
      </x:c>
      <x:c r="C173" s="12" t="n">
        <x:v>1</x:v>
      </x:c>
      <x:c r="D173" s="9" t="str">
        <x:v>装配/计入采购</x:v>
      </x:c>
      <x:c r="E173" s="9" t="str"/>
      <x:c r="F173" s="9" t="str"/>
      <x:c r="G173" s="9" t="str">
        <x:v>Top</x:v>
      </x:c>
      <x:c r="H173" s="9" t="str">
        <x:v>Resistor_SMD:R_0603_1608Metric</x:v>
      </x:c>
      <x:c r="I173" s="9" t="str">
        <x:v>Resistor_SMD:R_0603_1608Metric</x:v>
      </x:c>
      <x:c r="J173" s="9" t="str"/>
      <x:c r="K173" s="9" t="str"/>
      <x:c r="L173" s="9" t="str">
        <x:v>/MCU_Core/Motor_Comm/</x:v>
      </x:c>
      <x:c r="M173" s="9" t="str">
        <x:v>Motor_Comm.kicad_sch</x:v>
      </x:c>
      <x:c r="N173" s="9" t="str"/>
      <x:c r="O173" s="9" t="str"/>
      <x:c r="P173" s="9" t="str">
        <x:v>MPN待补齐；型号/数值按原设计保留；品牌待补齐；嘉立创料号待匹配；华秋料号待匹配</x:v>
      </x:c>
    </x:row>
    <x:row r="174" ht="48" customHeight="1">
      <x:c r="A174" s="13" t="str">
        <x:v>R41</x:v>
      </x:c>
      <x:c r="B174" s="13" t="str">
        <x:v>10kΩ</x:v>
      </x:c>
      <x:c r="C174" s="14" t="n">
        <x:v>1</x:v>
      </x:c>
      <x:c r="D174" s="13" t="str">
        <x:v>装配/计入采购</x:v>
      </x:c>
      <x:c r="E174" s="13" t="str"/>
      <x:c r="F174" s="13" t="str"/>
      <x:c r="G174" s="13" t="str">
        <x:v>Top</x:v>
      </x:c>
      <x:c r="H174" s="13" t="str">
        <x:v>Resistor_SMD:R_0603_1608Metric</x:v>
      </x:c>
      <x:c r="I174" s="13" t="str">
        <x:v>Resistor_SMD:R_0603_1608Metric</x:v>
      </x:c>
      <x:c r="J174" s="13" t="str"/>
      <x:c r="K174" s="13" t="str"/>
      <x:c r="L174" s="13" t="str">
        <x:v>/MCU_Core/Motor_Comm/</x:v>
      </x:c>
      <x:c r="M174" s="13" t="str">
        <x:v>Motor_Comm.kicad_sch</x:v>
      </x:c>
      <x:c r="N174" s="13" t="str"/>
      <x:c r="O174" s="13" t="str">
        <x:v>Resistor, US symbol</x:v>
      </x:c>
      <x:c r="P174" s="13" t="str">
        <x:v>MPN待补齐；型号/数值按原设计保留；品牌待补齐；嘉立创料号待匹配；华秋料号待匹配</x:v>
      </x:c>
    </x:row>
    <x:row r="175" ht="48" customHeight="1">
      <x:c r="A175" s="9" t="str">
        <x:v>R42</x:v>
      </x:c>
      <x:c r="B175" s="9" t="str">
        <x:v>4.7kΩ</x:v>
      </x:c>
      <x:c r="C175" s="12" t="n">
        <x:v>1</x:v>
      </x:c>
      <x:c r="D175" s="9" t="str">
        <x:v>装配/计入采购</x:v>
      </x:c>
      <x:c r="E175" s="9" t="str"/>
      <x:c r="F175" s="9" t="str"/>
      <x:c r="G175" s="9" t="str">
        <x:v>Top</x:v>
      </x:c>
      <x:c r="H175" s="9" t="str">
        <x:v>Resistor_SMD:R_0603_1608Metric</x:v>
      </x:c>
      <x:c r="I175" s="9" t="str">
        <x:v>Resistor_SMD:R_0603_1608Metric</x:v>
      </x:c>
      <x:c r="J175" s="9" t="str"/>
      <x:c r="K175" s="9" t="str"/>
      <x:c r="L175" s="9" t="str">
        <x:v>/MCU_Core/Motor_Comm/</x:v>
      </x:c>
      <x:c r="M175" s="9" t="str">
        <x:v>Motor_Comm.kicad_sch</x:v>
      </x:c>
      <x:c r="N175" s="9" t="str"/>
      <x:c r="O175" s="9" t="str">
        <x:v>Resistor, small US symbol</x:v>
      </x:c>
      <x:c r="P175" s="9" t="str">
        <x:v>MPN待补齐；型号/数值按原设计保留；品牌待补齐；嘉立创料号待匹配；华秋料号待匹配</x:v>
      </x:c>
    </x:row>
    <x:row r="176" ht="48" customHeight="1">
      <x:c r="A176" s="13" t="str">
        <x:v>R43</x:v>
      </x:c>
      <x:c r="B176" s="13" t="str">
        <x:v>4.7kΩ</x:v>
      </x:c>
      <x:c r="C176" s="14" t="n">
        <x:v>1</x:v>
      </x:c>
      <x:c r="D176" s="13" t="str">
        <x:v>装配/计入采购</x:v>
      </x:c>
      <x:c r="E176" s="13" t="str"/>
      <x:c r="F176" s="13" t="str"/>
      <x:c r="G176" s="13" t="str">
        <x:v>Top</x:v>
      </x:c>
      <x:c r="H176" s="13" t="str">
        <x:v>Resistor_SMD:R_0603_1608Metric</x:v>
      </x:c>
      <x:c r="I176" s="13" t="str">
        <x:v>Resistor_SMD:R_0603_1608Metric</x:v>
      </x:c>
      <x:c r="J176" s="13" t="str"/>
      <x:c r="K176" s="13" t="str"/>
      <x:c r="L176" s="13" t="str">
        <x:v>/MCU_Core/Motor_Comm/</x:v>
      </x:c>
      <x:c r="M176" s="13" t="str">
        <x:v>Motor_Comm.kicad_sch</x:v>
      </x:c>
      <x:c r="N176" s="13" t="str"/>
      <x:c r="O176" s="13" t="str">
        <x:v>Resistor, small US symbol</x:v>
      </x:c>
      <x:c r="P176" s="13" t="str">
        <x:v>MPN待补齐；型号/数值按原设计保留；品牌待补齐；嘉立创料号待匹配；华秋料号待匹配</x:v>
      </x:c>
    </x:row>
    <x:row r="177" ht="48" customHeight="1">
      <x:c r="A177" s="9" t="str">
        <x:v>R44</x:v>
      </x:c>
      <x:c r="B177" s="9" t="str">
        <x:v>4.7kΩ</x:v>
      </x:c>
      <x:c r="C177" s="12" t="n">
        <x:v>1</x:v>
      </x:c>
      <x:c r="D177" s="9" t="str">
        <x:v>装配/计入采购</x:v>
      </x:c>
      <x:c r="E177" s="9" t="str"/>
      <x:c r="F177" s="9" t="str"/>
      <x:c r="G177" s="9" t="str">
        <x:v>Top</x:v>
      </x:c>
      <x:c r="H177" s="9" t="str">
        <x:v>Resistor_SMD:R_0603_1608Metric</x:v>
      </x:c>
      <x:c r="I177" s="9" t="str">
        <x:v>Resistor_SMD:R_0603_1608Metric</x:v>
      </x:c>
      <x:c r="J177" s="9" t="str"/>
      <x:c r="K177" s="9" t="str"/>
      <x:c r="L177" s="9" t="str">
        <x:v>/MCU_Core/Motor_Comm/</x:v>
      </x:c>
      <x:c r="M177" s="9" t="str">
        <x:v>Motor_Comm.kicad_sch</x:v>
      </x:c>
      <x:c r="N177" s="9" t="str"/>
      <x:c r="O177" s="9" t="str">
        <x:v>Resistor, small US symbol</x:v>
      </x:c>
      <x:c r="P177" s="9" t="str">
        <x:v>MPN待补齐；型号/数值按原设计保留；品牌待补齐；嘉立创料号待匹配；华秋料号待匹配</x:v>
      </x:c>
    </x:row>
    <x:row r="178" ht="48" customHeight="1">
      <x:c r="A178" s="13" t="str">
        <x:v>R45</x:v>
      </x:c>
      <x:c r="B178" s="13" t="str">
        <x:v>4.7kΩ</x:v>
      </x:c>
      <x:c r="C178" s="14" t="n">
        <x:v>1</x:v>
      </x:c>
      <x:c r="D178" s="13" t="str">
        <x:v>装配/计入采购</x:v>
      </x:c>
      <x:c r="E178" s="13" t="str"/>
      <x:c r="F178" s="13" t="str"/>
      <x:c r="G178" s="13" t="str">
        <x:v>Top</x:v>
      </x:c>
      <x:c r="H178" s="13" t="str">
        <x:v>Resistor_SMD:R_0603_1608Metric</x:v>
      </x:c>
      <x:c r="I178" s="13" t="str">
        <x:v>Resistor_SMD:R_0603_1608Metric</x:v>
      </x:c>
      <x:c r="J178" s="13" t="str"/>
      <x:c r="K178" s="13" t="str"/>
      <x:c r="L178" s="13" t="str">
        <x:v>/MCU_Core/Motor_Comm/</x:v>
      </x:c>
      <x:c r="M178" s="13" t="str">
        <x:v>Motor_Comm.kicad_sch</x:v>
      </x:c>
      <x:c r="N178" s="13" t="str"/>
      <x:c r="O178" s="13" t="str">
        <x:v>Resistor, small US symbol</x:v>
      </x:c>
      <x:c r="P178" s="13" t="str">
        <x:v>MPN待补齐；型号/数值按原设计保留；品牌待补齐；嘉立创料号待匹配；华秋料号待匹配</x:v>
      </x:c>
    </x:row>
    <x:row r="179" ht="48" customHeight="1">
      <x:c r="A179" s="9" t="str">
        <x:v>R46</x:v>
      </x:c>
      <x:c r="B179" s="9" t="str">
        <x:v>1k</x:v>
      </x:c>
      <x:c r="C179" s="12" t="n">
        <x:v>1</x:v>
      </x:c>
      <x:c r="D179" s="9" t="str">
        <x:v>装配/计入采购</x:v>
      </x:c>
      <x:c r="E179" s="9" t="str"/>
      <x:c r="F179" s="9" t="str"/>
      <x:c r="G179" s="9" t="str">
        <x:v>Top</x:v>
      </x:c>
      <x:c r="H179" s="9" t="str">
        <x:v>Resistor_SMD:R_0603_1608Metric</x:v>
      </x:c>
      <x:c r="I179" s="9" t="str">
        <x:v>Resistor_SMD:R_0603_1608Metric</x:v>
      </x:c>
      <x:c r="J179" s="9" t="str"/>
      <x:c r="K179" s="9" t="str"/>
      <x:c r="L179" s="9" t="str">
        <x:v>/MCU_Core/Motor_Comm/</x:v>
      </x:c>
      <x:c r="M179" s="9" t="str">
        <x:v>Motor_Comm.kicad_sch</x:v>
      </x:c>
      <x:c r="N179" s="9" t="str"/>
      <x:c r="O179" s="9" t="str"/>
      <x:c r="P179" s="9" t="str">
        <x:v>MPN待补齐；型号/数值按原设计保留；品牌待补齐；嘉立创料号待匹配；华秋料号待匹配</x:v>
      </x:c>
    </x:row>
    <x:row r="180" ht="48" customHeight="1">
      <x:c r="A180" s="13" t="str">
        <x:v>R47</x:v>
      </x:c>
      <x:c r="B180" s="13" t="str">
        <x:v>2.2k</x:v>
      </x:c>
      <x:c r="C180" s="14" t="n">
        <x:v>1</x:v>
      </x:c>
      <x:c r="D180" s="13" t="str">
        <x:v>装配/计入采购</x:v>
      </x:c>
      <x:c r="E180" s="13" t="str"/>
      <x:c r="F180" s="13" t="str"/>
      <x:c r="G180" s="13" t="str">
        <x:v>Top</x:v>
      </x:c>
      <x:c r="H180" s="13" t="str">
        <x:v>Resistor_SMD:R_0603_1608Metric</x:v>
      </x:c>
      <x:c r="I180" s="13" t="str">
        <x:v>Resistor_SMD:R_0603_1608Metric</x:v>
      </x:c>
      <x:c r="J180" s="13" t="str"/>
      <x:c r="K180" s="13" t="str"/>
      <x:c r="L180" s="13" t="str">
        <x:v>/MCU_Core/Motor_Comm/</x:v>
      </x:c>
      <x:c r="M180" s="13" t="str">
        <x:v>Motor_Comm.kicad_sch</x:v>
      </x:c>
      <x:c r="N180" s="13" t="str"/>
      <x:c r="O180" s="13" t="str"/>
      <x:c r="P180" s="13" t="str">
        <x:v>MPN待补齐；型号/数值按原设计保留；品牌待补齐；嘉立创料号待匹配；华秋料号待匹配</x:v>
      </x:c>
    </x:row>
    <x:row r="181" ht="48" customHeight="1">
      <x:c r="A181" s="9" t="str">
        <x:v>R48</x:v>
      </x:c>
      <x:c r="B181" s="9" t="str">
        <x:v>1k</x:v>
      </x:c>
      <x:c r="C181" s="12" t="n">
        <x:v>1</x:v>
      </x:c>
      <x:c r="D181" s="9" t="str">
        <x:v>装配/计入采购</x:v>
      </x:c>
      <x:c r="E181" s="9" t="str"/>
      <x:c r="F181" s="9" t="str"/>
      <x:c r="G181" s="9" t="str">
        <x:v>Top</x:v>
      </x:c>
      <x:c r="H181" s="9" t="str">
        <x:v>Resistor_SMD:R_0603_1608Metric</x:v>
      </x:c>
      <x:c r="I181" s="9" t="str">
        <x:v>Resistor_SMD:R_0603_1608Metric</x:v>
      </x:c>
      <x:c r="J181" s="9" t="str"/>
      <x:c r="K181" s="9" t="str"/>
      <x:c r="L181" s="9" t="str">
        <x:v>/MCU_Core/Motor_Comm/</x:v>
      </x:c>
      <x:c r="M181" s="9" t="str">
        <x:v>Motor_Comm.kicad_sch</x:v>
      </x:c>
      <x:c r="N181" s="9" t="str"/>
      <x:c r="O181" s="9" t="str"/>
      <x:c r="P181" s="9" t="str">
        <x:v>MPN待补齐；型号/数值按原设计保留；品牌待补齐；嘉立创料号待匹配；华秋料号待匹配</x:v>
      </x:c>
    </x:row>
    <x:row r="182" ht="48" customHeight="1">
      <x:c r="A182" s="13" t="str">
        <x:v>R49</x:v>
      </x:c>
      <x:c r="B182" s="13" t="str">
        <x:v>2.2k</x:v>
      </x:c>
      <x:c r="C182" s="14" t="n">
        <x:v>1</x:v>
      </x:c>
      <x:c r="D182" s="13" t="str">
        <x:v>装配/计入采购</x:v>
      </x:c>
      <x:c r="E182" s="13" t="str"/>
      <x:c r="F182" s="13" t="str"/>
      <x:c r="G182" s="13" t="str">
        <x:v>Top</x:v>
      </x:c>
      <x:c r="H182" s="13" t="str">
        <x:v>Resistor_SMD:R_0603_1608Metric</x:v>
      </x:c>
      <x:c r="I182" s="13" t="str">
        <x:v>Resistor_SMD:R_0603_1608Metric</x:v>
      </x:c>
      <x:c r="J182" s="13" t="str"/>
      <x:c r="K182" s="13" t="str"/>
      <x:c r="L182" s="13" t="str">
        <x:v>/MCU_Core/Motor_Comm/</x:v>
      </x:c>
      <x:c r="M182" s="13" t="str">
        <x:v>Motor_Comm.kicad_sch</x:v>
      </x:c>
      <x:c r="N182" s="13" t="str"/>
      <x:c r="O182" s="13" t="str"/>
      <x:c r="P182" s="13" t="str">
        <x:v>MPN待补齐；型号/数值按原设计保留；品牌待补齐；嘉立创料号待匹配；华秋料号待匹配</x:v>
      </x:c>
    </x:row>
    <x:row r="183" ht="48" customHeight="1">
      <x:c r="A183" s="9" t="str">
        <x:v>R50</x:v>
      </x:c>
      <x:c r="B183" s="9" t="str">
        <x:v>10k</x:v>
      </x:c>
      <x:c r="C183" s="12" t="n">
        <x:v>1</x:v>
      </x:c>
      <x:c r="D183" s="9" t="str">
        <x:v>装配/计入采购</x:v>
      </x:c>
      <x:c r="E183" s="9" t="str"/>
      <x:c r="F183" s="9" t="str"/>
      <x:c r="G183" s="9" t="str">
        <x:v>Top</x:v>
      </x:c>
      <x:c r="H183" s="9" t="str">
        <x:v>Resistor_SMD:R_0603_1608Metric</x:v>
      </x:c>
      <x:c r="I183" s="9" t="str">
        <x:v>Resistor_SMD:R_0603_1608Metric</x:v>
      </x:c>
      <x:c r="J183" s="9" t="str"/>
      <x:c r="K183" s="9" t="str"/>
      <x:c r="L183" s="9" t="str">
        <x:v>/MCU_Core/Motor_Comm/</x:v>
      </x:c>
      <x:c r="M183" s="9" t="str">
        <x:v>Motor_Comm.kicad_sch</x:v>
      </x:c>
      <x:c r="N183" s="9" t="str"/>
      <x:c r="O183" s="9" t="str"/>
      <x:c r="P183" s="9" t="str">
        <x:v>MPN待补齐；型号/数值按原设计保留；品牌待补齐；嘉立创料号待匹配；华秋料号待匹配</x:v>
      </x:c>
    </x:row>
    <x:row r="184" ht="48" customHeight="1">
      <x:c r="A184" s="13" t="str">
        <x:v>R51</x:v>
      </x:c>
      <x:c r="B184" s="13" t="str">
        <x:v>10k</x:v>
      </x:c>
      <x:c r="C184" s="14" t="n">
        <x:v>1</x:v>
      </x:c>
      <x:c r="D184" s="13" t="str">
        <x:v>装配/计入采购</x:v>
      </x:c>
      <x:c r="E184" s="13" t="str"/>
      <x:c r="F184" s="13" t="str"/>
      <x:c r="G184" s="13" t="str">
        <x:v>Top</x:v>
      </x:c>
      <x:c r="H184" s="13" t="str">
        <x:v>Resistor_SMD:R_0603_1608Metric</x:v>
      </x:c>
      <x:c r="I184" s="13" t="str">
        <x:v>Resistor_SMD:R_0603_1608Metric</x:v>
      </x:c>
      <x:c r="J184" s="13" t="str"/>
      <x:c r="K184" s="13" t="str"/>
      <x:c r="L184" s="13" t="str">
        <x:v>/MCU_Core/Motor_Comm/</x:v>
      </x:c>
      <x:c r="M184" s="13" t="str">
        <x:v>Motor_Comm.kicad_sch</x:v>
      </x:c>
      <x:c r="N184" s="13" t="str"/>
      <x:c r="O184" s="13" t="str"/>
      <x:c r="P184" s="13" t="str">
        <x:v>MPN待补齐；型号/数值按原设计保留；品牌待补齐；嘉立创料号待匹配；华秋料号待匹配</x:v>
      </x:c>
    </x:row>
    <x:row r="185" ht="48" customHeight="1">
      <x:c r="A185" s="9" t="str">
        <x:v>R52</x:v>
      </x:c>
      <x:c r="B185" s="9" t="str">
        <x:v>10k</x:v>
      </x:c>
      <x:c r="C185" s="12" t="n">
        <x:v>1</x:v>
      </x:c>
      <x:c r="D185" s="9" t="str">
        <x:v>装配/计入采购</x:v>
      </x:c>
      <x:c r="E185" s="9" t="str"/>
      <x:c r="F185" s="9" t="str"/>
      <x:c r="G185" s="9" t="str">
        <x:v>Top</x:v>
      </x:c>
      <x:c r="H185" s="9" t="str">
        <x:v>Resistor_SMD:R_0603_1608Metric</x:v>
      </x:c>
      <x:c r="I185" s="9" t="str">
        <x:v>Resistor_SMD:R_0603_1608Metric</x:v>
      </x:c>
      <x:c r="J185" s="9" t="str"/>
      <x:c r="K185" s="9" t="str"/>
      <x:c r="L185" s="9" t="str">
        <x:v>/MCU_Core/Motor_Comm/</x:v>
      </x:c>
      <x:c r="M185" s="9" t="str">
        <x:v>Motor_Comm.kicad_sch</x:v>
      </x:c>
      <x:c r="N185" s="9" t="str"/>
      <x:c r="O185" s="9" t="str"/>
      <x:c r="P185" s="9" t="str">
        <x:v>MPN待补齐；型号/数值按原设计保留；品牌待补齐；嘉立创料号待匹配；华秋料号待匹配</x:v>
      </x:c>
    </x:row>
    <x:row r="186" ht="48" customHeight="1">
      <x:c r="A186" s="13" t="str">
        <x:v>R53</x:v>
      </x:c>
      <x:c r="B186" s="13" t="str">
        <x:v>10k</x:v>
      </x:c>
      <x:c r="C186" s="14" t="n">
        <x:v>1</x:v>
      </x:c>
      <x:c r="D186" s="13" t="str">
        <x:v>装配/计入采购</x:v>
      </x:c>
      <x:c r="E186" s="13" t="str"/>
      <x:c r="F186" s="13" t="str"/>
      <x:c r="G186" s="13" t="str">
        <x:v>Top</x:v>
      </x:c>
      <x:c r="H186" s="13" t="str">
        <x:v>Resistor_SMD:R_0603_1608Metric</x:v>
      </x:c>
      <x:c r="I186" s="13" t="str">
        <x:v>Resistor_SMD:R_0603_1608Metric</x:v>
      </x:c>
      <x:c r="J186" s="13" t="str"/>
      <x:c r="K186" s="13" t="str"/>
      <x:c r="L186" s="13" t="str">
        <x:v>/MCU_Core/Motor_Comm/</x:v>
      </x:c>
      <x:c r="M186" s="13" t="str">
        <x:v>Motor_Comm.kicad_sch</x:v>
      </x:c>
      <x:c r="N186" s="13" t="str"/>
      <x:c r="O186" s="13" t="str"/>
      <x:c r="P186" s="13" t="str">
        <x:v>MPN待补齐；型号/数值按原设计保留；品牌待补齐；嘉立创料号待匹配；华秋料号待匹配</x:v>
      </x:c>
    </x:row>
    <x:row r="187" ht="48" customHeight="1">
      <x:c r="A187" s="9" t="str">
        <x:v>R54</x:v>
      </x:c>
      <x:c r="B187" s="9" t="str">
        <x:v>0</x:v>
      </x:c>
      <x:c r="C187" s="12" t="n">
        <x:v>0</x:v>
      </x:c>
      <x:c r="D187" s="15" t="str">
        <x:v>DNP不装配；原理图排除PCB；排除BOM；PCB中无封装</x:v>
      </x:c>
      <x:c r="E187" s="9" t="str">
        <x:v>RC0402JR-070RL</x:v>
      </x:c>
      <x:c r="F187" s="9" t="str">
        <x:v>YAGEO</x:v>
      </x:c>
      <x:c r="G187" s="9" t="str"/>
      <x:c r="H187" s="9" t="str">
        <x:v>Resistor_SMD:R_0402_1005Metric</x:v>
      </x:c>
      <x:c r="I187" s="9" t="str">
        <x:v>Resistor_SMD:R_0402_1005Metric</x:v>
      </x:c>
      <x:c r="J187" s="9" t="str"/>
      <x:c r="K187" s="9" t="str"/>
      <x:c r="L187" s="9" t="str">
        <x:v>/MCU_Core/USB_TTL_CH340/</x:v>
      </x:c>
      <x:c r="M187" s="9" t="str">
        <x:v>TTL_CH340.kicad_sch</x:v>
      </x:c>
      <x:c r="N187" s="9" t="str">
        <x:v>Resistance=0</x:v>
      </x:c>
      <x:c r="O187" s="9" t="str">
        <x:v>Chip resistor 0402 (EIA), 0 ohm, jumper, 0.063W</x:v>
      </x:c>
      <x:c r="P187" s="9" t="str"/>
    </x:row>
    <x:row r="188" ht="48" customHeight="1">
      <x:c r="A188" s="13" t="str">
        <x:v>R55</x:v>
      </x:c>
      <x:c r="B188" s="13" t="str">
        <x:v>RC0603JR-130RL</x:v>
      </x:c>
      <x:c r="C188" s="14" t="n">
        <x:v>0</x:v>
      </x:c>
      <x:c r="D188" s="16" t="str">
        <x:v>DNP不装配；原理图排除PCB；排除BOM；PCB中无封装</x:v>
      </x:c>
      <x:c r="E188" s="13" t="str">
        <x:v>RC0603JR-130RL</x:v>
      </x:c>
      <x:c r="F188" s="13" t="str">
        <x:v>Yageo</x:v>
      </x:c>
      <x:c r="G188" s="13" t="str"/>
      <x:c r="H188" s="13" t="str">
        <x:v>Resistor_SMD:R_0603_1608Metric</x:v>
      </x:c>
      <x:c r="I188" s="13" t="str">
        <x:v>Resistor_SMD:R_0603_1608Metric</x:v>
      </x:c>
      <x:c r="J188" s="13" t="str"/>
      <x:c r="K188" s="13" t="str">
        <x:v>G6239406</x:v>
      </x:c>
      <x:c r="L188" s="13" t="str">
        <x:v>/MCU_Core/USB_TTL_CH340/</x:v>
      </x:c>
      <x:c r="M188" s="13" t="str">
        <x:v>TTL_CH340.kicad_sch</x:v>
      </x:c>
      <x:c r="N188" s="13" t="str"/>
      <x:c r="O188" s="13" t="str">
        <x:v>Chip SMD Resistors, 0 Ω, 100 mW, 0.05, Thick Film, 0603</x:v>
      </x:c>
      <x:c r="P188" s="13" t="str"/>
    </x:row>
    <x:row r="189" ht="48" customHeight="1">
      <x:c r="A189" s="9" t="str">
        <x:v>R56</x:v>
      </x:c>
      <x:c r="B189" s="9" t="str">
        <x:v>0</x:v>
      </x:c>
      <x:c r="C189" s="12" t="n">
        <x:v>0</x:v>
      </x:c>
      <x:c r="D189" s="15" t="str">
        <x:v>DNP不装配；原理图排除PCB；排除BOM；PCB中无封装</x:v>
      </x:c>
      <x:c r="E189" s="9" t="str">
        <x:v>RC0402JR-070RL</x:v>
      </x:c>
      <x:c r="F189" s="9" t="str">
        <x:v>YAGEO</x:v>
      </x:c>
      <x:c r="G189" s="9" t="str"/>
      <x:c r="H189" s="9" t="str">
        <x:v>Resistor_SMD:R_0402_1005Metric</x:v>
      </x:c>
      <x:c r="I189" s="9" t="str">
        <x:v>Resistor_SMD:R_0402_1005Metric</x:v>
      </x:c>
      <x:c r="J189" s="9" t="str"/>
      <x:c r="K189" s="9" t="str"/>
      <x:c r="L189" s="9" t="str">
        <x:v>/MCU_Core/USB_TTL_CH340/</x:v>
      </x:c>
      <x:c r="M189" s="9" t="str">
        <x:v>TTL_CH340.kicad_sch</x:v>
      </x:c>
      <x:c r="N189" s="9" t="str">
        <x:v>Resistance=0</x:v>
      </x:c>
      <x:c r="O189" s="9" t="str">
        <x:v>Chip resistor 0402 (EIA), 0 ohm, jumper, 0.063W</x:v>
      </x:c>
      <x:c r="P189" s="9" t="str"/>
    </x:row>
    <x:row r="190" ht="48" customHeight="1">
      <x:c r="A190" s="13" t="str">
        <x:v>R57</x:v>
      </x:c>
      <x:c r="B190" s="13" t="str">
        <x:v>4.7k</x:v>
      </x:c>
      <x:c r="C190" s="14" t="n">
        <x:v>1</x:v>
      </x:c>
      <x:c r="D190" s="13" t="str">
        <x:v>装配/计入采购</x:v>
      </x:c>
      <x:c r="E190" s="13" t="str">
        <x:v>RC0603JR-074K7L</x:v>
      </x:c>
      <x:c r="F190" s="13" t="str">
        <x:v>YAGEO</x:v>
      </x:c>
      <x:c r="G190" s="13" t="str">
        <x:v>Top</x:v>
      </x:c>
      <x:c r="H190" s="13" t="str">
        <x:v>Resistor_SMD:R_0603_1608Metric</x:v>
      </x:c>
      <x:c r="I190" s="13" t="str">
        <x:v>Resistor_SMD:R_0603_1608Metric</x:v>
      </x:c>
      <x:c r="J190" s="13" t="str"/>
      <x:c r="K190" s="13" t="str"/>
      <x:c r="L190" s="13" t="str">
        <x:v>/MCU_Core/USB_TTL_CH340/</x:v>
      </x:c>
      <x:c r="M190" s="13" t="str">
        <x:v>TTL_CH340.kicad_sch</x:v>
      </x:c>
      <x:c r="N190" s="13" t="str">
        <x:v>Resistance=4.7k；Tolerance=5%</x:v>
      </x:c>
      <x:c r="O190" s="13" t="str">
        <x:v>Chip resistor 0603 (EIA), 4.7k ohm, 5%, 0.1W</x:v>
      </x:c>
      <x:c r="P190" s="13" t="str">
        <x:v>嘉立创料号待匹配；华秋料号待匹配</x:v>
      </x:c>
    </x:row>
    <x:row r="191" ht="48" customHeight="1">
      <x:c r="A191" s="9" t="str">
        <x:v>R58</x:v>
      </x:c>
      <x:c r="B191" s="9" t="str">
        <x:v>4.7k</x:v>
      </x:c>
      <x:c r="C191" s="12" t="n">
        <x:v>1</x:v>
      </x:c>
      <x:c r="D191" s="9" t="str">
        <x:v>装配/计入采购</x:v>
      </x:c>
      <x:c r="E191" s="9" t="str">
        <x:v>RC0603JR-074K7L</x:v>
      </x:c>
      <x:c r="F191" s="9" t="str">
        <x:v>YAGEO</x:v>
      </x:c>
      <x:c r="G191" s="9" t="str">
        <x:v>Top</x:v>
      </x:c>
      <x:c r="H191" s="9" t="str">
        <x:v>Resistor_SMD:R_0603_1608Metric</x:v>
      </x:c>
      <x:c r="I191" s="9" t="str">
        <x:v>Resistor_SMD:R_0603_1608Metric</x:v>
      </x:c>
      <x:c r="J191" s="9" t="str"/>
      <x:c r="K191" s="9" t="str"/>
      <x:c r="L191" s="9" t="str">
        <x:v>/MCU_Core/USB_TTL_CH340/</x:v>
      </x:c>
      <x:c r="M191" s="9" t="str">
        <x:v>TTL_CH340.kicad_sch</x:v>
      </x:c>
      <x:c r="N191" s="9" t="str">
        <x:v>Resistance=4.7k；Tolerance=5%</x:v>
      </x:c>
      <x:c r="O191" s="9" t="str">
        <x:v>Chip resistor 0603 (EIA), 4.7k ohm, 5%, 0.1W</x:v>
      </x:c>
      <x:c r="P191" s="9" t="str">
        <x:v>嘉立创料号待匹配；华秋料号待匹配</x:v>
      </x:c>
    </x:row>
    <x:row r="192" ht="48" customHeight="1">
      <x:c r="A192" s="13" t="str">
        <x:v>R59</x:v>
      </x:c>
      <x:c r="B192" s="13" t="str">
        <x:v>RC0402FR-075K1L</x:v>
      </x:c>
      <x:c r="C192" s="14" t="n">
        <x:v>1</x:v>
      </x:c>
      <x:c r="D192" s="13" t="str">
        <x:v>装配/计入采购</x:v>
      </x:c>
      <x:c r="E192" s="13" t="str">
        <x:v>RC0402FR-075K1L</x:v>
      </x:c>
      <x:c r="F192" s="13" t="str">
        <x:v>Yageo</x:v>
      </x:c>
      <x:c r="G192" s="13" t="str">
        <x:v>Top</x:v>
      </x:c>
      <x:c r="H192" s="13" t="str">
        <x:v>Resistor_SMD:R_0402_1005Metric</x:v>
      </x:c>
      <x:c r="I192" s="13" t="str">
        <x:v>Resistor_SMD:R_0402_1005Metric</x:v>
      </x:c>
      <x:c r="J192" s="13" t="str"/>
      <x:c r="K192" s="13" t="str">
        <x:v>G0037014</x:v>
      </x:c>
      <x:c r="L192" s="13" t="str">
        <x:v>/MCU_Core/USB_TTL_CH340/</x:v>
      </x:c>
      <x:c r="M192" s="13" t="str">
        <x:v>TTL_CH340.kicad_sch</x:v>
      </x:c>
      <x:c r="N192" s="13" t="str"/>
      <x:c r="O192" s="13" t="str">
        <x:v>Chip SMD Resistors, 5.1 kΩ, 62.5 mW, 0.01, Thick Film, 0402</x:v>
      </x:c>
      <x:c r="P192" s="13" t="str">
        <x:v>嘉立创料号待匹配</x:v>
      </x:c>
    </x:row>
    <x:row r="193" ht="48" customHeight="1">
      <x:c r="A193" s="9" t="str">
        <x:v>R60</x:v>
      </x:c>
      <x:c r="B193" s="9" t="str">
        <x:v>RC0402FR-075K1L</x:v>
      </x:c>
      <x:c r="C193" s="12" t="n">
        <x:v>1</x:v>
      </x:c>
      <x:c r="D193" s="9" t="str">
        <x:v>装配/计入采购</x:v>
      </x:c>
      <x:c r="E193" s="9" t="str">
        <x:v>RC0402FR-075K1L</x:v>
      </x:c>
      <x:c r="F193" s="9" t="str">
        <x:v>Yageo</x:v>
      </x:c>
      <x:c r="G193" s="9" t="str">
        <x:v>Top</x:v>
      </x:c>
      <x:c r="H193" s="9" t="str">
        <x:v>Resistor_SMD:R_0402_1005Metric</x:v>
      </x:c>
      <x:c r="I193" s="9" t="str">
        <x:v>Resistor_SMD:R_0402_1005Metric</x:v>
      </x:c>
      <x:c r="J193" s="9" t="str"/>
      <x:c r="K193" s="9" t="str">
        <x:v>G0037014</x:v>
      </x:c>
      <x:c r="L193" s="9" t="str">
        <x:v>/MCU_Core/USB_TTL_CH340/</x:v>
      </x:c>
      <x:c r="M193" s="9" t="str">
        <x:v>TTL_CH340.kicad_sch</x:v>
      </x:c>
      <x:c r="N193" s="9" t="str"/>
      <x:c r="O193" s="9" t="str">
        <x:v>Chip SMD Resistors, 5.1 kΩ, 62.5 mW, 0.01, Thick Film, 0402</x:v>
      </x:c>
      <x:c r="P193" s="9" t="str">
        <x:v>嘉立创料号待匹配</x:v>
      </x:c>
    </x:row>
    <x:row r="194" ht="48" customHeight="1">
      <x:c r="A194" s="13" t="str">
        <x:v>R61</x:v>
      </x:c>
      <x:c r="B194" s="13" t="str">
        <x:v>4.7k</x:v>
      </x:c>
      <x:c r="C194" s="14" t="n">
        <x:v>1</x:v>
      </x:c>
      <x:c r="D194" s="13" t="str">
        <x:v>装配/计入采购</x:v>
      </x:c>
      <x:c r="E194" s="13" t="str">
        <x:v>RC0603JR-074K7L</x:v>
      </x:c>
      <x:c r="F194" s="13" t="str">
        <x:v>YAGEO</x:v>
      </x:c>
      <x:c r="G194" s="13" t="str">
        <x:v>Top</x:v>
      </x:c>
      <x:c r="H194" s="13" t="str">
        <x:v>Resistor_SMD:R_0603_1608Metric</x:v>
      </x:c>
      <x:c r="I194" s="13" t="str">
        <x:v>Resistor_SMD:R_0603_1608Metric</x:v>
      </x:c>
      <x:c r="J194" s="13" t="str"/>
      <x:c r="K194" s="13" t="str"/>
      <x:c r="L194" s="13" t="str">
        <x:v>/MCU_Core/USB_TTL_CH340/</x:v>
      </x:c>
      <x:c r="M194" s="13" t="str">
        <x:v>TTL_CH340.kicad_sch</x:v>
      </x:c>
      <x:c r="N194" s="13" t="str">
        <x:v>Resistance=4.7k；Tolerance=5%</x:v>
      </x:c>
      <x:c r="O194" s="13" t="str">
        <x:v>Chip resistor 0603 (EIA), 4.7k ohm, 5%, 0.1W</x:v>
      </x:c>
      <x:c r="P194" s="13" t="str">
        <x:v>嘉立创料号待匹配；华秋料号待匹配</x:v>
      </x:c>
    </x:row>
    <x:row r="195" ht="48" customHeight="1">
      <x:c r="A195" s="9" t="str">
        <x:v>R62</x:v>
      </x:c>
      <x:c r="B195" s="9" t="str">
        <x:v>4.7k</x:v>
      </x:c>
      <x:c r="C195" s="12" t="n">
        <x:v>1</x:v>
      </x:c>
      <x:c r="D195" s="9" t="str">
        <x:v>装配/计入采购</x:v>
      </x:c>
      <x:c r="E195" s="9" t="str">
        <x:v>RC0603JR-074K7L</x:v>
      </x:c>
      <x:c r="F195" s="9" t="str">
        <x:v>YAGEO</x:v>
      </x:c>
      <x:c r="G195" s="9" t="str">
        <x:v>Top</x:v>
      </x:c>
      <x:c r="H195" s="9" t="str">
        <x:v>Resistor_SMD:R_0603_1608Metric</x:v>
      </x:c>
      <x:c r="I195" s="9" t="str">
        <x:v>Resistor_SMD:R_0603_1608Metric</x:v>
      </x:c>
      <x:c r="J195" s="9" t="str"/>
      <x:c r="K195" s="9" t="str"/>
      <x:c r="L195" s="9" t="str">
        <x:v>/MCU_Core/USB_TTL_CH340/</x:v>
      </x:c>
      <x:c r="M195" s="9" t="str">
        <x:v>TTL_CH340.kicad_sch</x:v>
      </x:c>
      <x:c r="N195" s="9" t="str">
        <x:v>Resistance=4.7k；Tolerance=5%</x:v>
      </x:c>
      <x:c r="O195" s="9" t="str">
        <x:v>Chip resistor 0603 (EIA), 4.7k ohm, 5%, 0.1W</x:v>
      </x:c>
      <x:c r="P195" s="9" t="str">
        <x:v>嘉立创料号待匹配；华秋料号待匹配</x:v>
      </x:c>
    </x:row>
    <x:row r="196" ht="48" customHeight="1">
      <x:c r="A196" s="13" t="str">
        <x:v>R63</x:v>
      </x:c>
      <x:c r="B196" s="13" t="str">
        <x:v>0402WGF220JTCE</x:v>
      </x:c>
      <x:c r="C196" s="14" t="n">
        <x:v>1</x:v>
      </x:c>
      <x:c r="D196" s="13" t="str">
        <x:v>装配/计入采购</x:v>
      </x:c>
      <x:c r="E196" s="13" t="str">
        <x:v>0402WGF220JTCE</x:v>
      </x:c>
      <x:c r="F196" s="13" t="str">
        <x:v>Royal Electronic Factory</x:v>
      </x:c>
      <x:c r="G196" s="13" t="str">
        <x:v>Top</x:v>
      </x:c>
      <x:c r="H196" s="13" t="str">
        <x:v>Resistor_SMD:R_0402_1005Metric</x:v>
      </x:c>
      <x:c r="I196" s="13" t="str">
        <x:v>Resistor_SMD:R_0402_1005Metric</x:v>
      </x:c>
      <x:c r="J196" s="13" t="str"/>
      <x:c r="K196" s="13" t="str">
        <x:v>G0068188</x:v>
      </x:c>
      <x:c r="L196" s="13" t="str">
        <x:v>/MCU_Core/USB_TTL_CH340/</x:v>
      </x:c>
      <x:c r="M196" s="13" t="str">
        <x:v>TTL_CH340.kicad_sch</x:v>
      </x:c>
      <x:c r="N196" s="13" t="str"/>
      <x:c r="O196" s="13" t="str">
        <x:v>Chip Resistors 0402 22Ω ±1% 1/16W ±100ppm/℃</x:v>
      </x:c>
      <x:c r="P196" s="13" t="str">
        <x:v>嘉立创料号待匹配</x:v>
      </x:c>
    </x:row>
    <x:row r="197" ht="48" customHeight="1">
      <x:c r="A197" s="9" t="str">
        <x:v>R64</x:v>
      </x:c>
      <x:c r="B197" s="9" t="str">
        <x:v>0402WGF220JTCE</x:v>
      </x:c>
      <x:c r="C197" s="12" t="n">
        <x:v>1</x:v>
      </x:c>
      <x:c r="D197" s="9" t="str">
        <x:v>装配/计入采购</x:v>
      </x:c>
      <x:c r="E197" s="9" t="str">
        <x:v>0402WGF220JTCE</x:v>
      </x:c>
      <x:c r="F197" s="9" t="str">
        <x:v>Royal Electronic Factory</x:v>
      </x:c>
      <x:c r="G197" s="9" t="str">
        <x:v>Top</x:v>
      </x:c>
      <x:c r="H197" s="9" t="str">
        <x:v>Resistor_SMD:R_0402_1005Metric</x:v>
      </x:c>
      <x:c r="I197" s="9" t="str">
        <x:v>Resistor_SMD:R_0402_1005Metric</x:v>
      </x:c>
      <x:c r="J197" s="9" t="str"/>
      <x:c r="K197" s="9" t="str">
        <x:v>G0068188</x:v>
      </x:c>
      <x:c r="L197" s="9" t="str">
        <x:v>/MCU_Core/USB_TTL_CH340/</x:v>
      </x:c>
      <x:c r="M197" s="9" t="str">
        <x:v>TTL_CH340.kicad_sch</x:v>
      </x:c>
      <x:c r="N197" s="9" t="str"/>
      <x:c r="O197" s="9" t="str">
        <x:v>Chip Resistors 0402 22Ω ±1% 1/16W ±100ppm/℃</x:v>
      </x:c>
      <x:c r="P197" s="9" t="str">
        <x:v>嘉立创料号待匹配</x:v>
      </x:c>
    </x:row>
    <x:row r="198" ht="48" customHeight="1">
      <x:c r="A198" s="13" t="str">
        <x:v>R65</x:v>
      </x:c>
      <x:c r="B198" s="13" t="str">
        <x:v>0402WGF1001TCE</x:v>
      </x:c>
      <x:c r="C198" s="14" t="n">
        <x:v>1</x:v>
      </x:c>
      <x:c r="D198" s="13" t="str">
        <x:v>装配/计入采购</x:v>
      </x:c>
      <x:c r="E198" s="13" t="str">
        <x:v>0402WGF1001TCE</x:v>
      </x:c>
      <x:c r="F198" s="13" t="str">
        <x:v>Royal Electronic Factory</x:v>
      </x:c>
      <x:c r="G198" s="13" t="str">
        <x:v>Top</x:v>
      </x:c>
      <x:c r="H198" s="13" t="str">
        <x:v>kicad_api_lib:0402WGF1001TCE</x:v>
      </x:c>
      <x:c r="I198" s="13" t="str">
        <x:v>kicad_api_lib:0402WGF1001TCE</x:v>
      </x:c>
      <x:c r="J198" s="13" t="str"/>
      <x:c r="K198" s="13" t="str">
        <x:v>G0063277</x:v>
      </x:c>
      <x:c r="L198" s="13" t="str">
        <x:v>/MCU_Core/USB_TTL_CH340/</x:v>
      </x:c>
      <x:c r="M198" s="13" t="str">
        <x:v>TTL_CH340.kicad_sch</x:v>
      </x:c>
      <x:c r="N198" s="13" t="str"/>
      <x:c r="O198" s="13" t="str">
        <x:v>Chip Resistors 0402 1KΩ ±1% 1/16W ±100ppm/℃</x:v>
      </x:c>
      <x:c r="P198" s="13" t="str">
        <x:v>嘉立创料号待匹配</x:v>
      </x:c>
    </x:row>
    <x:row r="199" ht="48" customHeight="1">
      <x:c r="A199" s="9" t="str">
        <x:v>R66</x:v>
      </x:c>
      <x:c r="B199" s="9" t="str">
        <x:v>5.1k 1%</x:v>
      </x:c>
      <x:c r="C199" s="12" t="n">
        <x:v>0</x:v>
      </x:c>
      <x:c r="D199" s="15" t="str">
        <x:v>DNP不装配；原理图排除PCB；排除BOM；PCB中无封装</x:v>
      </x:c>
      <x:c r="E199" s="9" t="str"/>
      <x:c r="F199" s="9" t="str"/>
      <x:c r="G199" s="9" t="str"/>
      <x:c r="H199" s="9" t="str">
        <x:v>Resistor_SMD:R_0402_1005Metric</x:v>
      </x:c>
      <x:c r="I199" s="9" t="str">
        <x:v>Resistor_SMD:R_0402_1005Metric</x:v>
      </x:c>
      <x:c r="J199" s="9" t="str"/>
      <x:c r="K199" s="9" t="str"/>
      <x:c r="L199" s="9" t="str">
        <x:v>/MCU_Core/WiFi_OTA/</x:v>
      </x:c>
      <x:c r="M199" s="9" t="str">
        <x:v>WiFi_OTA.kicad_sch</x:v>
      </x:c>
      <x:c r="N199" s="9" t="str"/>
      <x:c r="O199" s="9" t="str"/>
      <x:c r="P199" s="9" t="str"/>
    </x:row>
    <x:row r="200" ht="48" customHeight="1">
      <x:c r="A200" s="13" t="str">
        <x:v>R67</x:v>
      </x:c>
      <x:c r="B200" s="13" t="str">
        <x:v>5.1k 1%</x:v>
      </x:c>
      <x:c r="C200" s="14" t="n">
        <x:v>0</x:v>
      </x:c>
      <x:c r="D200" s="16" t="str">
        <x:v>DNP不装配；原理图排除PCB；排除BOM；PCB中无封装</x:v>
      </x:c>
      <x:c r="E200" s="13" t="str"/>
      <x:c r="F200" s="13" t="str"/>
      <x:c r="G200" s="13" t="str"/>
      <x:c r="H200" s="13" t="str">
        <x:v>Resistor_SMD:R_0402_1005Metric</x:v>
      </x:c>
      <x:c r="I200" s="13" t="str">
        <x:v>Resistor_SMD:R_0402_1005Metric</x:v>
      </x:c>
      <x:c r="J200" s="13" t="str"/>
      <x:c r="K200" s="13" t="str"/>
      <x:c r="L200" s="13" t="str">
        <x:v>/MCU_Core/WiFi_OTA/</x:v>
      </x:c>
      <x:c r="M200" s="13" t="str">
        <x:v>WiFi_OTA.kicad_sch</x:v>
      </x:c>
      <x:c r="N200" s="13" t="str"/>
      <x:c r="O200" s="13" t="str"/>
      <x:c r="P200" s="13" t="str"/>
    </x:row>
    <x:row r="201" ht="48" customHeight="1">
      <x:c r="A201" s="9" t="str">
        <x:v>R68</x:v>
      </x:c>
      <x:c r="B201" s="9" t="str">
        <x:v>10k</x:v>
      </x:c>
      <x:c r="C201" s="12" t="n">
        <x:v>0</x:v>
      </x:c>
      <x:c r="D201" s="15" t="str">
        <x:v>DNP不装配；原理图排除PCB；排除BOM；PCB中无封装</x:v>
      </x:c>
      <x:c r="E201" s="9" t="str"/>
      <x:c r="F201" s="9" t="str"/>
      <x:c r="G201" s="9" t="str"/>
      <x:c r="H201" s="9" t="str">
        <x:v>Resistor_SMD:R_0603_1608Metric</x:v>
      </x:c>
      <x:c r="I201" s="9" t="str">
        <x:v>Resistor_SMD:R_0603_1608Metric</x:v>
      </x:c>
      <x:c r="J201" s="9" t="str"/>
      <x:c r="K201" s="9" t="str"/>
      <x:c r="L201" s="9" t="str">
        <x:v>/MCU_Core/WiFi_OTA/</x:v>
      </x:c>
      <x:c r="M201" s="9" t="str">
        <x:v>WiFi_OTA.kicad_sch</x:v>
      </x:c>
      <x:c r="N201" s="9" t="str"/>
      <x:c r="O201" s="9" t="str"/>
      <x:c r="P201" s="9" t="str"/>
    </x:row>
    <x:row r="202" ht="48" customHeight="1">
      <x:c r="A202" s="13" t="str">
        <x:v>R69</x:v>
      </x:c>
      <x:c r="B202" s="13" t="str">
        <x:v>22R</x:v>
      </x:c>
      <x:c r="C202" s="14" t="n">
        <x:v>0</x:v>
      </x:c>
      <x:c r="D202" s="16" t="str">
        <x:v>DNP不装配；原理图排除PCB；排除BOM；PCB中无封装</x:v>
      </x:c>
      <x:c r="E202" s="13" t="str"/>
      <x:c r="F202" s="13" t="str"/>
      <x:c r="G202" s="13" t="str"/>
      <x:c r="H202" s="13" t="str">
        <x:v>Resistor_SMD:R_0402_1005Metric</x:v>
      </x:c>
      <x:c r="I202" s="13" t="str">
        <x:v>Resistor_SMD:R_0402_1005Metric</x:v>
      </x:c>
      <x:c r="J202" s="13" t="str"/>
      <x:c r="K202" s="13" t="str"/>
      <x:c r="L202" s="13" t="str">
        <x:v>/MCU_Core/WiFi_OTA/</x:v>
      </x:c>
      <x:c r="M202" s="13" t="str">
        <x:v>WiFi_OTA.kicad_sch</x:v>
      </x:c>
      <x:c r="N202" s="13" t="str"/>
      <x:c r="O202" s="13" t="str"/>
      <x:c r="P202" s="13" t="str"/>
    </x:row>
    <x:row r="203" ht="48" customHeight="1">
      <x:c r="A203" s="9" t="str">
        <x:v>R70</x:v>
      </x:c>
      <x:c r="B203" s="9" t="str">
        <x:v>22R</x:v>
      </x:c>
      <x:c r="C203" s="12" t="n">
        <x:v>0</x:v>
      </x:c>
      <x:c r="D203" s="15" t="str">
        <x:v>DNP不装配；原理图排除PCB；排除BOM；PCB中无封装</x:v>
      </x:c>
      <x:c r="E203" s="9" t="str"/>
      <x:c r="F203" s="9" t="str"/>
      <x:c r="G203" s="9" t="str"/>
      <x:c r="H203" s="9" t="str">
        <x:v>Resistor_SMD:R_0402_1005Metric</x:v>
      </x:c>
      <x:c r="I203" s="9" t="str">
        <x:v>Resistor_SMD:R_0402_1005Metric</x:v>
      </x:c>
      <x:c r="J203" s="9" t="str"/>
      <x:c r="K203" s="9" t="str"/>
      <x:c r="L203" s="9" t="str">
        <x:v>/MCU_Core/WiFi_OTA/</x:v>
      </x:c>
      <x:c r="M203" s="9" t="str">
        <x:v>WiFi_OTA.kicad_sch</x:v>
      </x:c>
      <x:c r="N203" s="9" t="str"/>
      <x:c r="O203" s="9" t="str"/>
      <x:c r="P203" s="9" t="str"/>
    </x:row>
    <x:row r="204" ht="48" customHeight="1">
      <x:c r="A204" s="13" t="str">
        <x:v>R71</x:v>
      </x:c>
      <x:c r="B204" s="13" t="str">
        <x:v>10k</x:v>
      </x:c>
      <x:c r="C204" s="14" t="n">
        <x:v>0</x:v>
      </x:c>
      <x:c r="D204" s="16" t="str">
        <x:v>DNP不装配；原理图排除PCB；排除BOM；PCB中无封装</x:v>
      </x:c>
      <x:c r="E204" s="13" t="str"/>
      <x:c r="F204" s="13" t="str"/>
      <x:c r="G204" s="13" t="str"/>
      <x:c r="H204" s="13" t="str">
        <x:v>Resistor_SMD:R_0603_1608Metric</x:v>
      </x:c>
      <x:c r="I204" s="13" t="str">
        <x:v>Resistor_SMD:R_0603_1608Metric</x:v>
      </x:c>
      <x:c r="J204" s="13" t="str"/>
      <x:c r="K204" s="13" t="str"/>
      <x:c r="L204" s="13" t="str">
        <x:v>/MCU_Core/WiFi_OTA/</x:v>
      </x:c>
      <x:c r="M204" s="13" t="str">
        <x:v>WiFi_OTA.kicad_sch</x:v>
      </x:c>
      <x:c r="N204" s="13" t="str"/>
      <x:c r="O204" s="13" t="str"/>
      <x:c r="P204" s="13" t="str"/>
    </x:row>
    <x:row r="205" ht="48" customHeight="1">
      <x:c r="A205" s="9" t="str">
        <x:v>R72</x:v>
      </x:c>
      <x:c r="B205" s="9" t="str">
        <x:v>10k</x:v>
      </x:c>
      <x:c r="C205" s="12" t="n">
        <x:v>0</x:v>
      </x:c>
      <x:c r="D205" s="15" t="str">
        <x:v>DNP不装配；原理图排除PCB；排除BOM；PCB中无封装</x:v>
      </x:c>
      <x:c r="E205" s="9" t="str"/>
      <x:c r="F205" s="9" t="str"/>
      <x:c r="G205" s="9" t="str"/>
      <x:c r="H205" s="9" t="str">
        <x:v>Resistor_SMD:R_0603_1608Metric</x:v>
      </x:c>
      <x:c r="I205" s="9" t="str">
        <x:v>Resistor_SMD:R_0603_1608Metric</x:v>
      </x:c>
      <x:c r="J205" s="9" t="str"/>
      <x:c r="K205" s="9" t="str"/>
      <x:c r="L205" s="9" t="str">
        <x:v>/MCU_Core/WiFi_OTA/</x:v>
      </x:c>
      <x:c r="M205" s="9" t="str">
        <x:v>WiFi_OTA.kicad_sch</x:v>
      </x:c>
      <x:c r="N205" s="9" t="str"/>
      <x:c r="O205" s="9" t="str"/>
      <x:c r="P205" s="9" t="str"/>
    </x:row>
    <x:row r="206" ht="48" customHeight="1">
      <x:c r="A206" s="13" t="str">
        <x:v>R73</x:v>
      </x:c>
      <x:c r="B206" s="13" t="str">
        <x:v>10k</x:v>
      </x:c>
      <x:c r="C206" s="14" t="n">
        <x:v>0</x:v>
      </x:c>
      <x:c r="D206" s="16" t="str">
        <x:v>DNP不装配；原理图排除PCB；排除BOM；PCB中无封装</x:v>
      </x:c>
      <x:c r="E206" s="13" t="str"/>
      <x:c r="F206" s="13" t="str"/>
      <x:c r="G206" s="13" t="str"/>
      <x:c r="H206" s="13" t="str">
        <x:v>Resistor_SMD:R_0603_1608Metric</x:v>
      </x:c>
      <x:c r="I206" s="13" t="str">
        <x:v>Resistor_SMD:R_0603_1608Metric</x:v>
      </x:c>
      <x:c r="J206" s="13" t="str"/>
      <x:c r="K206" s="13" t="str"/>
      <x:c r="L206" s="13" t="str">
        <x:v>/MCU_Core/WiFi_OTA/</x:v>
      </x:c>
      <x:c r="M206" s="13" t="str">
        <x:v>WiFi_OTA.kicad_sch</x:v>
      </x:c>
      <x:c r="N206" s="13" t="str"/>
      <x:c r="O206" s="13" t="str"/>
      <x:c r="P206" s="13" t="str"/>
    </x:row>
    <x:row r="207" ht="48" customHeight="1">
      <x:c r="A207" s="9" t="str">
        <x:v>R74</x:v>
      </x:c>
      <x:c r="B207" s="9" t="str">
        <x:v>1k</x:v>
      </x:c>
      <x:c r="C207" s="12" t="n">
        <x:v>1</x:v>
      </x:c>
      <x:c r="D207" s="9" t="str">
        <x:v>装配/计入采购</x:v>
      </x:c>
      <x:c r="E207" s="9" t="str"/>
      <x:c r="F207" s="9" t="str"/>
      <x:c r="G207" s="9" t="str">
        <x:v>Top</x:v>
      </x:c>
      <x:c r="H207" s="9" t="str">
        <x:v>Resistor_SMD:R_0603_1608Metric</x:v>
      </x:c>
      <x:c r="I207" s="9" t="str">
        <x:v>Resistor_SMD:R_0603_1608Metric</x:v>
      </x:c>
      <x:c r="J207" s="9" t="str"/>
      <x:c r="K207" s="9" t="str"/>
      <x:c r="L207" s="9" t="str">
        <x:v>/MCU_Core/Motor_Comm/</x:v>
      </x:c>
      <x:c r="M207" s="9" t="str">
        <x:v>Motor_Comm.kicad_sch</x:v>
      </x:c>
      <x:c r="N207" s="9" t="str"/>
      <x:c r="O207" s="9" t="str"/>
      <x:c r="P207" s="9" t="str">
        <x:v>MPN待补齐；型号/数值按原设计保留；品牌待补齐；嘉立创料号待匹配；华秋料号待匹配</x:v>
      </x:c>
    </x:row>
    <x:row r="208" ht="48" customHeight="1">
      <x:c r="A208" s="13" t="str">
        <x:v>SW1</x:v>
      </x:c>
      <x:c r="B208" s="13" t="str">
        <x:v>SKRPACE010</x:v>
      </x:c>
      <x:c r="C208" s="14" t="n">
        <x:v>1</x:v>
      </x:c>
      <x:c r="D208" s="13" t="str">
        <x:v>装配/计入采购</x:v>
      </x:c>
      <x:c r="E208" s="13" t="str">
        <x:v>SKRPACE010</x:v>
      </x:c>
      <x:c r="F208" s="13" t="str">
        <x:v>Alps Electric</x:v>
      </x:c>
      <x:c r="G208" s="13" t="str">
        <x:v>Top</x:v>
      </x:c>
      <x:c r="H208" s="13" t="str">
        <x:v>kicad_api_lib:SKRPACE010</x:v>
      </x:c>
      <x:c r="I208" s="13" t="str">
        <x:v>kicad_api_lib:SKRPACE010</x:v>
      </x:c>
      <x:c r="J208" s="13" t="str"/>
      <x:c r="K208" s="13" t="str">
        <x:v>G0057037</x:v>
      </x:c>
      <x:c r="L208" s="13" t="str">
        <x:v>/MCU_Core/</x:v>
      </x:c>
      <x:c r="M208" s="13" t="str">
        <x:v>GD32F303VET6.kicad_sch</x:v>
      </x:c>
      <x:c r="N208" s="13" t="str"/>
      <x:c r="O208" s="13" t="str">
        <x:v>轻触开关，单刀单掷，1V~16V，10µA~50mA，500mΩ</x:v>
      </x:c>
      <x:c r="P208" s="13" t="str">
        <x:v>嘉立创料号待匹配</x:v>
      </x:c>
    </x:row>
    <x:row r="209" ht="48" customHeight="1">
      <x:c r="A209" s="9" t="str">
        <x:v>SW2</x:v>
      </x:c>
      <x:c r="B209" s="9" t="str">
        <x:v>RESET</x:v>
      </x:c>
      <x:c r="C209" s="12" t="n">
        <x:v>0</x:v>
      </x:c>
      <x:c r="D209" s="15" t="str">
        <x:v>DNP不装配；原理图排除PCB；排除BOM；PCB中无封装</x:v>
      </x:c>
      <x:c r="E209" s="9" t="str"/>
      <x:c r="F209" s="9" t="str"/>
      <x:c r="G209" s="9" t="str"/>
      <x:c r="H209" s="9" t="str">
        <x:v>kicad_api_lib:SKRPACE010</x:v>
      </x:c>
      <x:c r="I209" s="9" t="str">
        <x:v>kicad_api_lib:SKRPACE010</x:v>
      </x:c>
      <x:c r="J209" s="9" t="str"/>
      <x:c r="K209" s="9" t="str"/>
      <x:c r="L209" s="9" t="str">
        <x:v>/MCU_Core/WiFi_OTA/</x:v>
      </x:c>
      <x:c r="M209" s="9" t="str">
        <x:v>WiFi_OTA.kicad_sch</x:v>
      </x:c>
      <x:c r="N209" s="9" t="str"/>
      <x:c r="O209" s="9" t="str"/>
      <x:c r="P209" s="9" t="str"/>
    </x:row>
    <x:row r="210" ht="48" customHeight="1">
      <x:c r="A210" s="13" t="str">
        <x:v>SW3</x:v>
      </x:c>
      <x:c r="B210" s="13" t="str">
        <x:v>BOOT</x:v>
      </x:c>
      <x:c r="C210" s="14" t="n">
        <x:v>0</x:v>
      </x:c>
      <x:c r="D210" s="16" t="str">
        <x:v>DNP不装配；原理图排除PCB；排除BOM；PCB中无封装</x:v>
      </x:c>
      <x:c r="E210" s="13" t="str"/>
      <x:c r="F210" s="13" t="str"/>
      <x:c r="G210" s="13" t="str"/>
      <x:c r="H210" s="13" t="str">
        <x:v>kicad_api_lib:SKRPACE010</x:v>
      </x:c>
      <x:c r="I210" s="13" t="str">
        <x:v>kicad_api_lib:SKRPACE010</x:v>
      </x:c>
      <x:c r="J210" s="13" t="str"/>
      <x:c r="K210" s="13" t="str"/>
      <x:c r="L210" s="13" t="str">
        <x:v>/MCU_Core/WiFi_OTA/</x:v>
      </x:c>
      <x:c r="M210" s="13" t="str">
        <x:v>WiFi_OTA.kicad_sch</x:v>
      </x:c>
      <x:c r="N210" s="13" t="str"/>
      <x:c r="O210" s="13" t="str"/>
      <x:c r="P210" s="13" t="str"/>
    </x:row>
    <x:row r="211" ht="48" customHeight="1">
      <x:c r="A211" s="9" t="str">
        <x:v>TP_3V3</x:v>
      </x:c>
      <x:c r="B211" s="9" t="str">
        <x:v>3V3</x:v>
      </x:c>
      <x:c r="C211" s="12" t="n">
        <x:v>0</x:v>
      </x:c>
      <x:c r="D211" s="15" t="str">
        <x:v>排除BOM</x:v>
      </x:c>
      <x:c r="E211" s="9" t="str"/>
      <x:c r="F211" s="9" t="str"/>
      <x:c r="G211" s="9" t="str">
        <x:v>Top</x:v>
      </x:c>
      <x:c r="H211" s="9" t="str">
        <x:v>kicad_api_lib:TestPoint_Pad_D1.143mm</x:v>
      </x:c>
      <x:c r="I211" s="9" t="str">
        <x:v>kicad_api_lib:TestPoint_Pad_D1.143mm</x:v>
      </x:c>
      <x:c r="J211" s="9" t="str"/>
      <x:c r="K211" s="9" t="str"/>
      <x:c r="L211" s="9" t="str">
        <x:v>/POWER/</x:v>
      </x:c>
      <x:c r="M211" s="9" t="str">
        <x:v>POWER.kicad_sch</x:v>
      </x:c>
      <x:c r="N211" s="9" t="str"/>
      <x:c r="O211" s="9" t="str"/>
      <x:c r="P211" s="9" t="str"/>
    </x:row>
    <x:row r="212" ht="48" customHeight="1">
      <x:c r="A212" s="13" t="str">
        <x:v>TP_5V1</x:v>
      </x:c>
      <x:c r="B212" s="13" t="str">
        <x:v>5V</x:v>
      </x:c>
      <x:c r="C212" s="14" t="n">
        <x:v>0</x:v>
      </x:c>
      <x:c r="D212" s="16" t="str">
        <x:v>排除BOM</x:v>
      </x:c>
      <x:c r="E212" s="13" t="str"/>
      <x:c r="F212" s="13" t="str"/>
      <x:c r="G212" s="13" t="str">
        <x:v>Top</x:v>
      </x:c>
      <x:c r="H212" s="13" t="str">
        <x:v>kicad_api_lib:TestPoint_Pad_D1.143mm</x:v>
      </x:c>
      <x:c r="I212" s="13" t="str">
        <x:v>kicad_api_lib:TestPoint_Pad_D1.143mm</x:v>
      </x:c>
      <x:c r="J212" s="13" t="str"/>
      <x:c r="K212" s="13" t="str"/>
      <x:c r="L212" s="13" t="str">
        <x:v>/POWER/</x:v>
      </x:c>
      <x:c r="M212" s="13" t="str">
        <x:v>POWER.kicad_sch</x:v>
      </x:c>
      <x:c r="N212" s="13" t="str"/>
      <x:c r="O212" s="13" t="str"/>
      <x:c r="P212" s="13" t="str"/>
    </x:row>
    <x:row r="213" ht="48" customHeight="1">
      <x:c r="A213" s="9" t="str">
        <x:v>TP_5V_RAW1</x:v>
      </x:c>
      <x:c r="B213" s="9" t="str">
        <x:v>5V_RAW</x:v>
      </x:c>
      <x:c r="C213" s="12" t="n">
        <x:v>0</x:v>
      </x:c>
      <x:c r="D213" s="15" t="str">
        <x:v>排除BOM</x:v>
      </x:c>
      <x:c r="E213" s="9" t="str"/>
      <x:c r="F213" s="9" t="str"/>
      <x:c r="G213" s="9" t="str">
        <x:v>Top</x:v>
      </x:c>
      <x:c r="H213" s="9" t="str">
        <x:v>kicad_api_lib:TestPoint_Pad_D1.143mm</x:v>
      </x:c>
      <x:c r="I213" s="9" t="str">
        <x:v>kicad_api_lib:TestPoint_Pad_D1.143mm</x:v>
      </x:c>
      <x:c r="J213" s="9" t="str"/>
      <x:c r="K213" s="9" t="str"/>
      <x:c r="L213" s="9" t="str">
        <x:v>/POWER/</x:v>
      </x:c>
      <x:c r="M213" s="9" t="str">
        <x:v>POWER.kicad_sch</x:v>
      </x:c>
      <x:c r="N213" s="9" t="str"/>
      <x:c r="O213" s="9" t="str"/>
      <x:c r="P213" s="9" t="str"/>
    </x:row>
    <x:row r="214" ht="48" customHeight="1">
      <x:c r="A214" s="13" t="str">
        <x:v>TP_24V1</x:v>
      </x:c>
      <x:c r="B214" s="13" t="str">
        <x:v>24V</x:v>
      </x:c>
      <x:c r="C214" s="14" t="n">
        <x:v>0</x:v>
      </x:c>
      <x:c r="D214" s="16" t="str">
        <x:v>排除BOM</x:v>
      </x:c>
      <x:c r="E214" s="13" t="str"/>
      <x:c r="F214" s="13" t="str"/>
      <x:c r="G214" s="13" t="str">
        <x:v>Top</x:v>
      </x:c>
      <x:c r="H214" s="13" t="str">
        <x:v>kicad_api_lib:TestPoint_Pad_D1.143mm</x:v>
      </x:c>
      <x:c r="I214" s="13" t="str">
        <x:v>kicad_api_lib:TestPoint_Pad_D1.143mm</x:v>
      </x:c>
      <x:c r="J214" s="13" t="str"/>
      <x:c r="K214" s="13" t="str"/>
      <x:c r="L214" s="13" t="str">
        <x:v>/POWER/</x:v>
      </x:c>
      <x:c r="M214" s="13" t="str">
        <x:v>POWER.kicad_sch</x:v>
      </x:c>
      <x:c r="N214" s="13" t="str"/>
      <x:c r="O214" s="13" t="str"/>
      <x:c r="P214" s="13" t="str"/>
    </x:row>
    <x:row r="215" ht="48" customHeight="1">
      <x:c r="A215" s="9" t="str">
        <x:v>TP_485_A1</x:v>
      </x:c>
      <x:c r="B215" s="9" t="str">
        <x:v>485_A</x:v>
      </x:c>
      <x:c r="C215" s="12" t="n">
        <x:v>0</x:v>
      </x:c>
      <x:c r="D215" s="15" t="str">
        <x:v>排除BOM</x:v>
      </x:c>
      <x:c r="E215" s="9" t="str"/>
      <x:c r="F215" s="9" t="str"/>
      <x:c r="G215" s="9" t="str">
        <x:v>Top</x:v>
      </x:c>
      <x:c r="H215" s="9" t="str">
        <x:v>kicad_api_lib:TestPoint_Pad_D0.762mm</x:v>
      </x:c>
      <x:c r="I215" s="9" t="str">
        <x:v>kicad_api_lib:TestPoint_Pad_D0.762mm</x:v>
      </x:c>
      <x:c r="J215" s="9" t="str"/>
      <x:c r="K215" s="9" t="str"/>
      <x:c r="L215" s="9" t="str">
        <x:v>/RS485/</x:v>
      </x:c>
      <x:c r="M215" s="9" t="str">
        <x:v>RS485.kicad_sch</x:v>
      </x:c>
      <x:c r="N215" s="9" t="str"/>
      <x:c r="O215" s="9" t="str"/>
      <x:c r="P215" s="9" t="str"/>
    </x:row>
    <x:row r="216" ht="48" customHeight="1">
      <x:c r="A216" s="13" t="str">
        <x:v>TP_485_B1</x:v>
      </x:c>
      <x:c r="B216" s="13" t="str">
        <x:v>485_B</x:v>
      </x:c>
      <x:c r="C216" s="14" t="n">
        <x:v>0</x:v>
      </x:c>
      <x:c r="D216" s="16" t="str">
        <x:v>排除BOM</x:v>
      </x:c>
      <x:c r="E216" s="13" t="str"/>
      <x:c r="F216" s="13" t="str"/>
      <x:c r="G216" s="13" t="str">
        <x:v>Bottom</x:v>
      </x:c>
      <x:c r="H216" s="13" t="str">
        <x:v>kicad_api_lib:TestPoint_Pad_D0.762mm</x:v>
      </x:c>
      <x:c r="I216" s="13" t="str">
        <x:v>kicad_api_lib:TestPoint_Pad_D0.762mm</x:v>
      </x:c>
      <x:c r="J216" s="13" t="str"/>
      <x:c r="K216" s="13" t="str"/>
      <x:c r="L216" s="13" t="str">
        <x:v>/RS485/</x:v>
      </x:c>
      <x:c r="M216" s="13" t="str">
        <x:v>RS485.kicad_sch</x:v>
      </x:c>
      <x:c r="N216" s="13" t="str"/>
      <x:c r="O216" s="13" t="str"/>
      <x:c r="P216" s="13" t="str"/>
    </x:row>
    <x:row r="217" ht="48" customHeight="1">
      <x:c r="A217" s="9" t="str">
        <x:v>TP_485_EN1</x:v>
      </x:c>
      <x:c r="B217" s="9" t="str">
        <x:v>485_EN</x:v>
      </x:c>
      <x:c r="C217" s="12" t="n">
        <x:v>0</x:v>
      </x:c>
      <x:c r="D217" s="15" t="str">
        <x:v>排除BOM</x:v>
      </x:c>
      <x:c r="E217" s="9" t="str"/>
      <x:c r="F217" s="9" t="str"/>
      <x:c r="G217" s="9" t="str">
        <x:v>Top</x:v>
      </x:c>
      <x:c r="H217" s="9" t="str">
        <x:v>kicad_api_lib:TestPoint_Pad_D0.762mm</x:v>
      </x:c>
      <x:c r="I217" s="9" t="str">
        <x:v>kicad_api_lib:TestPoint_Pad_D0.762mm</x:v>
      </x:c>
      <x:c r="J217" s="9" t="str"/>
      <x:c r="K217" s="9" t="str"/>
      <x:c r="L217" s="9" t="str">
        <x:v>/RS485/</x:v>
      </x:c>
      <x:c r="M217" s="9" t="str">
        <x:v>RS485.kicad_sch</x:v>
      </x:c>
      <x:c r="N217" s="9" t="str"/>
      <x:c r="O217" s="9" t="str"/>
      <x:c r="P217" s="9" t="str"/>
    </x:row>
    <x:row r="218" ht="48" customHeight="1">
      <x:c r="A218" s="13" t="str">
        <x:v>TP_485_RX1</x:v>
      </x:c>
      <x:c r="B218" s="13" t="str">
        <x:v>485_RX</x:v>
      </x:c>
      <x:c r="C218" s="14" t="n">
        <x:v>0</x:v>
      </x:c>
      <x:c r="D218" s="16" t="str">
        <x:v>排除BOM</x:v>
      </x:c>
      <x:c r="E218" s="13" t="str"/>
      <x:c r="F218" s="13" t="str"/>
      <x:c r="G218" s="13" t="str">
        <x:v>Top</x:v>
      </x:c>
      <x:c r="H218" s="13" t="str">
        <x:v>kicad_api_lib:TestPoint_Pad_D0.762mm</x:v>
      </x:c>
      <x:c r="I218" s="13" t="str">
        <x:v>kicad_api_lib:TestPoint_Pad_D0.762mm</x:v>
      </x:c>
      <x:c r="J218" s="13" t="str"/>
      <x:c r="K218" s="13" t="str"/>
      <x:c r="L218" s="13" t="str">
        <x:v>/RS485/</x:v>
      </x:c>
      <x:c r="M218" s="13" t="str">
        <x:v>RS485.kicad_sch</x:v>
      </x:c>
      <x:c r="N218" s="13" t="str"/>
      <x:c r="O218" s="13" t="str"/>
      <x:c r="P218" s="13" t="str"/>
    </x:row>
    <x:row r="219" ht="48" customHeight="1">
      <x:c r="A219" s="9" t="str">
        <x:v>TP_485_TX1</x:v>
      </x:c>
      <x:c r="B219" s="9" t="str">
        <x:v>485_TX</x:v>
      </x:c>
      <x:c r="C219" s="12" t="n">
        <x:v>0</x:v>
      </x:c>
      <x:c r="D219" s="15" t="str">
        <x:v>排除BOM</x:v>
      </x:c>
      <x:c r="E219" s="9" t="str"/>
      <x:c r="F219" s="9" t="str"/>
      <x:c r="G219" s="9" t="str">
        <x:v>Top</x:v>
      </x:c>
      <x:c r="H219" s="9" t="str">
        <x:v>kicad_api_lib:TestPoint_Pad_D0.762mm</x:v>
      </x:c>
      <x:c r="I219" s="9" t="str">
        <x:v>kicad_api_lib:TestPoint_Pad_D0.762mm</x:v>
      </x:c>
      <x:c r="J219" s="9" t="str"/>
      <x:c r="K219" s="9" t="str"/>
      <x:c r="L219" s="9" t="str">
        <x:v>/RS485/</x:v>
      </x:c>
      <x:c r="M219" s="9" t="str">
        <x:v>RS485.kicad_sch</x:v>
      </x:c>
      <x:c r="N219" s="9" t="str"/>
      <x:c r="O219" s="9" t="str"/>
      <x:c r="P219" s="9" t="str"/>
    </x:row>
    <x:row r="220" ht="48" customHeight="1">
      <x:c r="A220" s="13" t="str">
        <x:v>TP_BRAKE1</x:v>
      </x:c>
      <x:c r="B220" s="13" t="str">
        <x:v>BRAKE1</x:v>
      </x:c>
      <x:c r="C220" s="14" t="n">
        <x:v>0</x:v>
      </x:c>
      <x:c r="D220" s="16" t="str">
        <x:v>排除BOM</x:v>
      </x:c>
      <x:c r="E220" s="13" t="str"/>
      <x:c r="F220" s="13" t="str"/>
      <x:c r="G220" s="13" t="str">
        <x:v>Top</x:v>
      </x:c>
      <x:c r="H220" s="13" t="str">
        <x:v>kicad_api_lib:TestPoint_Pad_D0.762mm</x:v>
      </x:c>
      <x:c r="I220" s="13" t="str">
        <x:v>kicad_api_lib:TestPoint_Pad_D0.762mm</x:v>
      </x:c>
      <x:c r="J220" s="13" t="str"/>
      <x:c r="K220" s="13" t="str"/>
      <x:c r="L220" s="13" t="str">
        <x:v>/MCU_Core/Motor_Comm/</x:v>
      </x:c>
      <x:c r="M220" s="13" t="str">
        <x:v>Motor_Comm.kicad_sch</x:v>
      </x:c>
      <x:c r="N220" s="13" t="str"/>
      <x:c r="O220" s="13" t="str"/>
      <x:c r="P220" s="13" t="str"/>
    </x:row>
    <x:row r="221" ht="48" customHeight="1">
      <x:c r="A221" s="9" t="str">
        <x:v>TP_BRAKE2</x:v>
      </x:c>
      <x:c r="B221" s="9" t="str">
        <x:v>BRAKE2</x:v>
      </x:c>
      <x:c r="C221" s="12" t="n">
        <x:v>0</x:v>
      </x:c>
      <x:c r="D221" s="15" t="str">
        <x:v>排除BOM</x:v>
      </x:c>
      <x:c r="E221" s="9" t="str"/>
      <x:c r="F221" s="9" t="str"/>
      <x:c r="G221" s="9" t="str">
        <x:v>Top</x:v>
      </x:c>
      <x:c r="H221" s="9" t="str">
        <x:v>kicad_api_lib:TestPoint_Pad_D0.762mm</x:v>
      </x:c>
      <x:c r="I221" s="9" t="str">
        <x:v>kicad_api_lib:TestPoint_Pad_D0.762mm</x:v>
      </x:c>
      <x:c r="J221" s="9" t="str"/>
      <x:c r="K221" s="9" t="str"/>
      <x:c r="L221" s="9" t="str">
        <x:v>/MCU_Core/Motor_Comm/</x:v>
      </x:c>
      <x:c r="M221" s="9" t="str">
        <x:v>Motor_Comm.kicad_sch</x:v>
      </x:c>
      <x:c r="N221" s="9" t="str"/>
      <x:c r="O221" s="9" t="str"/>
      <x:c r="P221" s="9" t="str"/>
    </x:row>
    <x:row r="222" ht="48" customHeight="1">
      <x:c r="A222" s="13" t="str">
        <x:v>TP_BRAKE3</x:v>
      </x:c>
      <x:c r="B222" s="13" t="str">
        <x:v>BRAKE3</x:v>
      </x:c>
      <x:c r="C222" s="14" t="n">
        <x:v>0</x:v>
      </x:c>
      <x:c r="D222" s="16" t="str">
        <x:v>排除BOM</x:v>
      </x:c>
      <x:c r="E222" s="13" t="str"/>
      <x:c r="F222" s="13" t="str"/>
      <x:c r="G222" s="13" t="str">
        <x:v>Top</x:v>
      </x:c>
      <x:c r="H222" s="13" t="str">
        <x:v>kicad_api_lib:TestPoint_Pad_D0.762mm</x:v>
      </x:c>
      <x:c r="I222" s="13" t="str">
        <x:v>kicad_api_lib:TestPoint_Pad_D0.762mm</x:v>
      </x:c>
      <x:c r="J222" s="13" t="str"/>
      <x:c r="K222" s="13" t="str"/>
      <x:c r="L222" s="13" t="str">
        <x:v>/MCU_Core/Motor_Comm/</x:v>
      </x:c>
      <x:c r="M222" s="13" t="str">
        <x:v>Motor_Comm.kicad_sch</x:v>
      </x:c>
      <x:c r="N222" s="13" t="str"/>
      <x:c r="O222" s="13" t="str"/>
      <x:c r="P222" s="13" t="str"/>
    </x:row>
    <x:row r="223" ht="48" customHeight="1">
      <x:c r="A223" s="9" t="str">
        <x:v>TP_BRAKE4</x:v>
      </x:c>
      <x:c r="B223" s="9" t="str">
        <x:v>BRAKE4</x:v>
      </x:c>
      <x:c r="C223" s="12" t="n">
        <x:v>0</x:v>
      </x:c>
      <x:c r="D223" s="15" t="str">
        <x:v>排除BOM</x:v>
      </x:c>
      <x:c r="E223" s="9" t="str"/>
      <x:c r="F223" s="9" t="str"/>
      <x:c r="G223" s="9" t="str">
        <x:v>Top</x:v>
      </x:c>
      <x:c r="H223" s="9" t="str">
        <x:v>kicad_api_lib:TestPoint_Pad_D0.762mm</x:v>
      </x:c>
      <x:c r="I223" s="9" t="str">
        <x:v>kicad_api_lib:TestPoint_Pad_D0.762mm</x:v>
      </x:c>
      <x:c r="J223" s="9" t="str"/>
      <x:c r="K223" s="9" t="str"/>
      <x:c r="L223" s="9" t="str">
        <x:v>/MCU_Core/Motor_Comm/</x:v>
      </x:c>
      <x:c r="M223" s="9" t="str">
        <x:v>Motor_Comm.kicad_sch</x:v>
      </x:c>
      <x:c r="N223" s="9" t="str"/>
      <x:c r="O223" s="9" t="str"/>
      <x:c r="P223" s="9" t="str"/>
    </x:row>
    <x:row r="224" ht="48" customHeight="1">
      <x:c r="A224" s="13" t="str">
        <x:v>TP_CH_RX1</x:v>
      </x:c>
      <x:c r="B224" s="13" t="str">
        <x:v>CH_RX</x:v>
      </x:c>
      <x:c r="C224" s="14" t="n">
        <x:v>0</x:v>
      </x:c>
      <x:c r="D224" s="16" t="str">
        <x:v>排除BOM</x:v>
      </x:c>
      <x:c r="E224" s="13" t="str"/>
      <x:c r="F224" s="13" t="str"/>
      <x:c r="G224" s="13" t="str">
        <x:v>Top</x:v>
      </x:c>
      <x:c r="H224" s="13" t="str">
        <x:v>kicad_api_lib:TestPoint_Pad_D0.762mm</x:v>
      </x:c>
      <x:c r="I224" s="13" t="str">
        <x:v>kicad_api_lib:TestPoint_Pad_D0.762mm</x:v>
      </x:c>
      <x:c r="J224" s="13" t="str"/>
      <x:c r="K224" s="13" t="str"/>
      <x:c r="L224" s="13" t="str">
        <x:v>/MCU_Core/USB_TTL_CH340/</x:v>
      </x:c>
      <x:c r="M224" s="13" t="str">
        <x:v>TTL_CH340.kicad_sch</x:v>
      </x:c>
      <x:c r="N224" s="13" t="str"/>
      <x:c r="O224" s="13" t="str"/>
      <x:c r="P224" s="13" t="str"/>
    </x:row>
    <x:row r="225" ht="48" customHeight="1">
      <x:c r="A225" s="9" t="str">
        <x:v>TP_CH_TX1</x:v>
      </x:c>
      <x:c r="B225" s="9" t="str">
        <x:v>CH_TX</x:v>
      </x:c>
      <x:c r="C225" s="12" t="n">
        <x:v>0</x:v>
      </x:c>
      <x:c r="D225" s="15" t="str">
        <x:v>排除BOM</x:v>
      </x:c>
      <x:c r="E225" s="9" t="str"/>
      <x:c r="F225" s="9" t="str"/>
      <x:c r="G225" s="9" t="str">
        <x:v>Top</x:v>
      </x:c>
      <x:c r="H225" s="9" t="str">
        <x:v>kicad_api_lib:TestPoint_Pad_D0.762mm</x:v>
      </x:c>
      <x:c r="I225" s="9" t="str">
        <x:v>kicad_api_lib:TestPoint_Pad_D0.762mm</x:v>
      </x:c>
      <x:c r="J225" s="9" t="str"/>
      <x:c r="K225" s="9" t="str"/>
      <x:c r="L225" s="9" t="str">
        <x:v>/MCU_Core/USB_TTL_CH340/</x:v>
      </x:c>
      <x:c r="M225" s="9" t="str">
        <x:v>TTL_CH340.kicad_sch</x:v>
      </x:c>
      <x:c r="N225" s="9" t="str"/>
      <x:c r="O225" s="9" t="str"/>
      <x:c r="P225" s="9" t="str"/>
    </x:row>
    <x:row r="226" ht="48" customHeight="1">
      <x:c r="A226" s="13" t="str">
        <x:v>TP_DIR1</x:v>
      </x:c>
      <x:c r="B226" s="13" t="str">
        <x:v>DIR1</x:v>
      </x:c>
      <x:c r="C226" s="14" t="n">
        <x:v>0</x:v>
      </x:c>
      <x:c r="D226" s="16" t="str">
        <x:v>排除BOM</x:v>
      </x:c>
      <x:c r="E226" s="13" t="str"/>
      <x:c r="F226" s="13" t="str"/>
      <x:c r="G226" s="13" t="str">
        <x:v>Top</x:v>
      </x:c>
      <x:c r="H226" s="13" t="str">
        <x:v>kicad_api_lib:TestPoint_Pad_D0.762mm</x:v>
      </x:c>
      <x:c r="I226" s="13" t="str">
        <x:v>kicad_api_lib:TestPoint_Pad_D0.762mm</x:v>
      </x:c>
      <x:c r="J226" s="13" t="str"/>
      <x:c r="K226" s="13" t="str"/>
      <x:c r="L226" s="13" t="str">
        <x:v>/MCU_Core/Motor_Comm/</x:v>
      </x:c>
      <x:c r="M226" s="13" t="str">
        <x:v>Motor_Comm.kicad_sch</x:v>
      </x:c>
      <x:c r="N226" s="13" t="str"/>
      <x:c r="O226" s="13" t="str"/>
      <x:c r="P226" s="13" t="str"/>
    </x:row>
    <x:row r="227" ht="48" customHeight="1">
      <x:c r="A227" s="9" t="str">
        <x:v>TP_DIR2</x:v>
      </x:c>
      <x:c r="B227" s="9" t="str">
        <x:v>DIR2</x:v>
      </x:c>
      <x:c r="C227" s="12" t="n">
        <x:v>0</x:v>
      </x:c>
      <x:c r="D227" s="15" t="str">
        <x:v>排除BOM</x:v>
      </x:c>
      <x:c r="E227" s="9" t="str"/>
      <x:c r="F227" s="9" t="str"/>
      <x:c r="G227" s="9" t="str">
        <x:v>Top</x:v>
      </x:c>
      <x:c r="H227" s="9" t="str">
        <x:v>kicad_api_lib:TestPoint_Pad_D0.762mm</x:v>
      </x:c>
      <x:c r="I227" s="9" t="str">
        <x:v>kicad_api_lib:TestPoint_Pad_D0.762mm</x:v>
      </x:c>
      <x:c r="J227" s="9" t="str"/>
      <x:c r="K227" s="9" t="str"/>
      <x:c r="L227" s="9" t="str">
        <x:v>/MCU_Core/Motor_Comm/</x:v>
      </x:c>
      <x:c r="M227" s="9" t="str">
        <x:v>Motor_Comm.kicad_sch</x:v>
      </x:c>
      <x:c r="N227" s="9" t="str"/>
      <x:c r="O227" s="9" t="str"/>
      <x:c r="P227" s="9" t="str"/>
    </x:row>
    <x:row r="228" ht="48" customHeight="1">
      <x:c r="A228" s="13" t="str">
        <x:v>TP_DIR3</x:v>
      </x:c>
      <x:c r="B228" s="13" t="str">
        <x:v>DIR3</x:v>
      </x:c>
      <x:c r="C228" s="14" t="n">
        <x:v>0</x:v>
      </x:c>
      <x:c r="D228" s="16" t="str">
        <x:v>排除BOM</x:v>
      </x:c>
      <x:c r="E228" s="13" t="str"/>
      <x:c r="F228" s="13" t="str"/>
      <x:c r="G228" s="13" t="str">
        <x:v>Top</x:v>
      </x:c>
      <x:c r="H228" s="13" t="str">
        <x:v>kicad_api_lib:TestPoint_Pad_D0.762mm</x:v>
      </x:c>
      <x:c r="I228" s="13" t="str">
        <x:v>kicad_api_lib:TestPoint_Pad_D0.762mm</x:v>
      </x:c>
      <x:c r="J228" s="13" t="str"/>
      <x:c r="K228" s="13" t="str"/>
      <x:c r="L228" s="13" t="str">
        <x:v>/MCU_Core/Motor_Comm/</x:v>
      </x:c>
      <x:c r="M228" s="13" t="str">
        <x:v>Motor_Comm.kicad_sch</x:v>
      </x:c>
      <x:c r="N228" s="13" t="str"/>
      <x:c r="O228" s="13" t="str"/>
      <x:c r="P228" s="13" t="str"/>
    </x:row>
    <x:row r="229" ht="48" customHeight="1">
      <x:c r="A229" s="9" t="str">
        <x:v>TP_DIR4</x:v>
      </x:c>
      <x:c r="B229" s="9" t="str">
        <x:v>DIR4</x:v>
      </x:c>
      <x:c r="C229" s="12" t="n">
        <x:v>0</x:v>
      </x:c>
      <x:c r="D229" s="15" t="str">
        <x:v>排除BOM</x:v>
      </x:c>
      <x:c r="E229" s="9" t="str"/>
      <x:c r="F229" s="9" t="str"/>
      <x:c r="G229" s="9" t="str">
        <x:v>Top</x:v>
      </x:c>
      <x:c r="H229" s="9" t="str">
        <x:v>kicad_api_lib:TestPoint_Pad_D0.762mm</x:v>
      </x:c>
      <x:c r="I229" s="9" t="str">
        <x:v>kicad_api_lib:TestPoint_Pad_D0.762mm</x:v>
      </x:c>
      <x:c r="J229" s="9" t="str"/>
      <x:c r="K229" s="9" t="str"/>
      <x:c r="L229" s="9" t="str">
        <x:v>/MCU_Core/Motor_Comm/</x:v>
      </x:c>
      <x:c r="M229" s="9" t="str">
        <x:v>Motor_Comm.kicad_sch</x:v>
      </x:c>
      <x:c r="N229" s="9" t="str"/>
      <x:c r="O229" s="9" t="str"/>
      <x:c r="P229" s="9" t="str"/>
    </x:row>
    <x:row r="230" ht="48" customHeight="1">
      <x:c r="A230" s="13" t="str">
        <x:v>TP_FG1</x:v>
      </x:c>
      <x:c r="B230" s="13" t="str">
        <x:v>FG1</x:v>
      </x:c>
      <x:c r="C230" s="14" t="n">
        <x:v>0</x:v>
      </x:c>
      <x:c r="D230" s="16" t="str">
        <x:v>排除BOM</x:v>
      </x:c>
      <x:c r="E230" s="13" t="str"/>
      <x:c r="F230" s="13" t="str"/>
      <x:c r="G230" s="13" t="str">
        <x:v>Top</x:v>
      </x:c>
      <x:c r="H230" s="13" t="str">
        <x:v>kicad_api_lib:TestPoint_Pad_D0.762mm</x:v>
      </x:c>
      <x:c r="I230" s="13" t="str">
        <x:v>kicad_api_lib:TestPoint_Pad_D0.762mm</x:v>
      </x:c>
      <x:c r="J230" s="13" t="str"/>
      <x:c r="K230" s="13" t="str"/>
      <x:c r="L230" s="13" t="str">
        <x:v>/MCU_Core/Motor_Comm/</x:v>
      </x:c>
      <x:c r="M230" s="13" t="str">
        <x:v>Motor_Comm.kicad_sch</x:v>
      </x:c>
      <x:c r="N230" s="13" t="str"/>
      <x:c r="O230" s="13" t="str"/>
      <x:c r="P230" s="13" t="str"/>
    </x:row>
    <x:row r="231" ht="48" customHeight="1">
      <x:c r="A231" s="9" t="str">
        <x:v>TP_FG2</x:v>
      </x:c>
      <x:c r="B231" s="9" t="str">
        <x:v>FG2</x:v>
      </x:c>
      <x:c r="C231" s="12" t="n">
        <x:v>0</x:v>
      </x:c>
      <x:c r="D231" s="15" t="str">
        <x:v>排除BOM</x:v>
      </x:c>
      <x:c r="E231" s="9" t="str"/>
      <x:c r="F231" s="9" t="str"/>
      <x:c r="G231" s="9" t="str">
        <x:v>Top</x:v>
      </x:c>
      <x:c r="H231" s="9" t="str">
        <x:v>kicad_api_lib:TestPoint_Pad_D0.762mm</x:v>
      </x:c>
      <x:c r="I231" s="9" t="str">
        <x:v>kicad_api_lib:TestPoint_Pad_D0.762mm</x:v>
      </x:c>
      <x:c r="J231" s="9" t="str"/>
      <x:c r="K231" s="9" t="str"/>
      <x:c r="L231" s="9" t="str">
        <x:v>/MCU_Core/Motor_Comm/</x:v>
      </x:c>
      <x:c r="M231" s="9" t="str">
        <x:v>Motor_Comm.kicad_sch</x:v>
      </x:c>
      <x:c r="N231" s="9" t="str"/>
      <x:c r="O231" s="9" t="str"/>
      <x:c r="P231" s="9" t="str"/>
    </x:row>
    <x:row r="232" ht="48" customHeight="1">
      <x:c r="A232" s="13" t="str">
        <x:v>TP_FG3</x:v>
      </x:c>
      <x:c r="B232" s="13" t="str">
        <x:v>FG3</x:v>
      </x:c>
      <x:c r="C232" s="14" t="n">
        <x:v>0</x:v>
      </x:c>
      <x:c r="D232" s="16" t="str">
        <x:v>排除BOM</x:v>
      </x:c>
      <x:c r="E232" s="13" t="str"/>
      <x:c r="F232" s="13" t="str"/>
      <x:c r="G232" s="13" t="str">
        <x:v>Top</x:v>
      </x:c>
      <x:c r="H232" s="13" t="str">
        <x:v>kicad_api_lib:TestPoint_Pad_D0.762mm</x:v>
      </x:c>
      <x:c r="I232" s="13" t="str">
        <x:v>kicad_api_lib:TestPoint_Pad_D0.762mm</x:v>
      </x:c>
      <x:c r="J232" s="13" t="str"/>
      <x:c r="K232" s="13" t="str"/>
      <x:c r="L232" s="13" t="str">
        <x:v>/MCU_Core/Motor_Comm/</x:v>
      </x:c>
      <x:c r="M232" s="13" t="str">
        <x:v>Motor_Comm.kicad_sch</x:v>
      </x:c>
      <x:c r="N232" s="13" t="str"/>
      <x:c r="O232" s="13" t="str"/>
      <x:c r="P232" s="13" t="str"/>
    </x:row>
    <x:row r="233" ht="48" customHeight="1">
      <x:c r="A233" s="9" t="str">
        <x:v>TP_FG4</x:v>
      </x:c>
      <x:c r="B233" s="9" t="str">
        <x:v>FG4</x:v>
      </x:c>
      <x:c r="C233" s="12" t="n">
        <x:v>0</x:v>
      </x:c>
      <x:c r="D233" s="15" t="str">
        <x:v>排除BOM</x:v>
      </x:c>
      <x:c r="E233" s="9" t="str"/>
      <x:c r="F233" s="9" t="str"/>
      <x:c r="G233" s="9" t="str">
        <x:v>Top</x:v>
      </x:c>
      <x:c r="H233" s="9" t="str">
        <x:v>kicad_api_lib:TestPoint_Pad_D0.762mm</x:v>
      </x:c>
      <x:c r="I233" s="9" t="str">
        <x:v>kicad_api_lib:TestPoint_Pad_D0.762mm</x:v>
      </x:c>
      <x:c r="J233" s="9" t="str"/>
      <x:c r="K233" s="9" t="str"/>
      <x:c r="L233" s="9" t="str">
        <x:v>/MCU_Core/Motor_Comm/</x:v>
      </x:c>
      <x:c r="M233" s="9" t="str">
        <x:v>Motor_Comm.kicad_sch</x:v>
      </x:c>
      <x:c r="N233" s="9" t="str"/>
      <x:c r="O233" s="9" t="str"/>
      <x:c r="P233" s="9" t="str"/>
    </x:row>
    <x:row r="234" ht="48" customHeight="1">
      <x:c r="A234" s="13" t="str">
        <x:v>TP_GND1</x:v>
      </x:c>
      <x:c r="B234" s="13" t="str">
        <x:v>GND1</x:v>
      </x:c>
      <x:c r="C234" s="14" t="n">
        <x:v>0</x:v>
      </x:c>
      <x:c r="D234" s="16" t="str">
        <x:v>排除BOM</x:v>
      </x:c>
      <x:c r="E234" s="13" t="str"/>
      <x:c r="F234" s="13" t="str"/>
      <x:c r="G234" s="13" t="str">
        <x:v>Top</x:v>
      </x:c>
      <x:c r="H234" s="13" t="str">
        <x:v>kicad_api_lib:TestPoint_Pad_D1.016mm</x:v>
      </x:c>
      <x:c r="I234" s="13" t="str">
        <x:v>kicad_api_lib:TestPoint_Pad_D1.016mm</x:v>
      </x:c>
      <x:c r="J234" s="13" t="str"/>
      <x:c r="K234" s="13" t="str"/>
      <x:c r="L234" s="13" t="str">
        <x:v>/MCU_Core/Motor_Comm/</x:v>
      </x:c>
      <x:c r="M234" s="13" t="str">
        <x:v>Motor_Comm.kicad_sch</x:v>
      </x:c>
      <x:c r="N234" s="13" t="str"/>
      <x:c r="O234" s="13" t="str"/>
      <x:c r="P234" s="13" t="str"/>
    </x:row>
    <x:row r="235" ht="48" customHeight="1">
      <x:c r="A235" s="9" t="str">
        <x:v>TP_GND2</x:v>
      </x:c>
      <x:c r="B235" s="9" t="str">
        <x:v>GND2</x:v>
      </x:c>
      <x:c r="C235" s="12" t="n">
        <x:v>0</x:v>
      </x:c>
      <x:c r="D235" s="15" t="str">
        <x:v>排除BOM</x:v>
      </x:c>
      <x:c r="E235" s="9" t="str"/>
      <x:c r="F235" s="9" t="str"/>
      <x:c r="G235" s="9" t="str">
        <x:v>Top</x:v>
      </x:c>
      <x:c r="H235" s="9" t="str">
        <x:v>kicad_api_lib:TestPoint_Pad_D1.016mm</x:v>
      </x:c>
      <x:c r="I235" s="9" t="str">
        <x:v>kicad_api_lib:TestPoint_Pad_D1.016mm</x:v>
      </x:c>
      <x:c r="J235" s="9" t="str"/>
      <x:c r="K235" s="9" t="str"/>
      <x:c r="L235" s="9" t="str">
        <x:v>/MCU_Core/Motor_Comm/</x:v>
      </x:c>
      <x:c r="M235" s="9" t="str">
        <x:v>Motor_Comm.kicad_sch</x:v>
      </x:c>
      <x:c r="N235" s="9" t="str"/>
      <x:c r="O235" s="9" t="str"/>
      <x:c r="P235" s="9" t="str"/>
    </x:row>
    <x:row r="236" ht="48" customHeight="1">
      <x:c r="A236" s="13" t="str">
        <x:v>TP_GND3</x:v>
      </x:c>
      <x:c r="B236" s="13" t="str">
        <x:v>GND3</x:v>
      </x:c>
      <x:c r="C236" s="14" t="n">
        <x:v>0</x:v>
      </x:c>
      <x:c r="D236" s="16" t="str">
        <x:v>排除BOM</x:v>
      </x:c>
      <x:c r="E236" s="13" t="str"/>
      <x:c r="F236" s="13" t="str"/>
      <x:c r="G236" s="13" t="str">
        <x:v>Top</x:v>
      </x:c>
      <x:c r="H236" s="13" t="str">
        <x:v>kicad_api_lib:TestPoint_Pad_D1.016mm</x:v>
      </x:c>
      <x:c r="I236" s="13" t="str">
        <x:v>kicad_api_lib:TestPoint_Pad_D1.016mm</x:v>
      </x:c>
      <x:c r="J236" s="13" t="str"/>
      <x:c r="K236" s="13" t="str"/>
      <x:c r="L236" s="13" t="str">
        <x:v>/MCU_Core/Motor_Comm/</x:v>
      </x:c>
      <x:c r="M236" s="13" t="str">
        <x:v>Motor_Comm.kicad_sch</x:v>
      </x:c>
      <x:c r="N236" s="13" t="str"/>
      <x:c r="O236" s="13" t="str"/>
      <x:c r="P236" s="13" t="str"/>
    </x:row>
    <x:row r="237" ht="48" customHeight="1">
      <x:c r="A237" s="9" t="str">
        <x:v>TP_GND4</x:v>
      </x:c>
      <x:c r="B237" s="9" t="str">
        <x:v>GND4</x:v>
      </x:c>
      <x:c r="C237" s="12" t="n">
        <x:v>0</x:v>
      </x:c>
      <x:c r="D237" s="15" t="str">
        <x:v>排除BOM</x:v>
      </x:c>
      <x:c r="E237" s="9" t="str"/>
      <x:c r="F237" s="9" t="str"/>
      <x:c r="G237" s="9" t="str">
        <x:v>Top</x:v>
      </x:c>
      <x:c r="H237" s="9" t="str">
        <x:v>kicad_api_lib:TestPoint_Pad_D1.016mm</x:v>
      </x:c>
      <x:c r="I237" s="9" t="str">
        <x:v>kicad_api_lib:TestPoint_Pad_D1.016mm</x:v>
      </x:c>
      <x:c r="J237" s="9" t="str"/>
      <x:c r="K237" s="9" t="str"/>
      <x:c r="L237" s="9" t="str">
        <x:v>/MCU_Core/Motor_Comm/</x:v>
      </x:c>
      <x:c r="M237" s="9" t="str">
        <x:v>Motor_Comm.kicad_sch</x:v>
      </x:c>
      <x:c r="N237" s="9" t="str"/>
      <x:c r="O237" s="9" t="str"/>
      <x:c r="P237" s="9" t="str"/>
    </x:row>
    <x:row r="238" ht="48" customHeight="1">
      <x:c r="A238" s="13" t="str">
        <x:v>TP_GND_485</x:v>
      </x:c>
      <x:c r="B238" s="13" t="str">
        <x:v>GND_485</x:v>
      </x:c>
      <x:c r="C238" s="14" t="n">
        <x:v>0</x:v>
      </x:c>
      <x:c r="D238" s="16" t="str">
        <x:v>排除BOM</x:v>
      </x:c>
      <x:c r="E238" s="13" t="str"/>
      <x:c r="F238" s="13" t="str"/>
      <x:c r="G238" s="13" t="str">
        <x:v>Top</x:v>
      </x:c>
      <x:c r="H238" s="13" t="str">
        <x:v>kicad_api_lib:TestPoint_Pad_D1.016mm</x:v>
      </x:c>
      <x:c r="I238" s="13" t="str">
        <x:v>kicad_api_lib:TestPoint_Pad_D1.016mm</x:v>
      </x:c>
      <x:c r="J238" s="13" t="str"/>
      <x:c r="K238" s="13" t="str"/>
      <x:c r="L238" s="13" t="str">
        <x:v>/RS485/</x:v>
      </x:c>
      <x:c r="M238" s="13" t="str">
        <x:v>RS485.kicad_sch</x:v>
      </x:c>
      <x:c r="N238" s="13" t="str"/>
      <x:c r="O238" s="13" t="str"/>
      <x:c r="P238" s="13" t="str"/>
    </x:row>
    <x:row r="239" ht="48" customHeight="1">
      <x:c r="A239" s="9" t="str">
        <x:v>TP_GND_MCU1</x:v>
      </x:c>
      <x:c r="B239" s="9" t="str">
        <x:v>GND_MCU</x:v>
      </x:c>
      <x:c r="C239" s="12" t="n">
        <x:v>0</x:v>
      </x:c>
      <x:c r="D239" s="15" t="str">
        <x:v>排除BOM</x:v>
      </x:c>
      <x:c r="E239" s="9" t="str"/>
      <x:c r="F239" s="9" t="str"/>
      <x:c r="G239" s="9" t="str">
        <x:v>Top</x:v>
      </x:c>
      <x:c r="H239" s="9" t="str">
        <x:v>kicad_api_lib:TestPoint_Pad_D1.016mm</x:v>
      </x:c>
      <x:c r="I239" s="9" t="str">
        <x:v>kicad_api_lib:TestPoint_Pad_D1.016mm</x:v>
      </x:c>
      <x:c r="J239" s="9" t="str"/>
      <x:c r="K239" s="9" t="str"/>
      <x:c r="L239" s="9" t="str">
        <x:v>/MCU_Core/</x:v>
      </x:c>
      <x:c r="M239" s="9" t="str">
        <x:v>GD32F303VET6.kicad_sch</x:v>
      </x:c>
      <x:c r="N239" s="9" t="str"/>
      <x:c r="O239" s="9" t="str"/>
      <x:c r="P239" s="9" t="str"/>
    </x:row>
    <x:row r="240" ht="48" customHeight="1">
      <x:c r="A240" s="13" t="str">
        <x:v>TP_GND_PWR1</x:v>
      </x:c>
      <x:c r="B240" s="13" t="str">
        <x:v>GND_PWR</x:v>
      </x:c>
      <x:c r="C240" s="14" t="n">
        <x:v>0</x:v>
      </x:c>
      <x:c r="D240" s="16" t="str">
        <x:v>排除BOM</x:v>
      </x:c>
      <x:c r="E240" s="13" t="str"/>
      <x:c r="F240" s="13" t="str"/>
      <x:c r="G240" s="13" t="str">
        <x:v>Top</x:v>
      </x:c>
      <x:c r="H240" s="13" t="str">
        <x:v>kicad_api_lib:TestPoint_Pad_D1.016mm</x:v>
      </x:c>
      <x:c r="I240" s="13" t="str">
        <x:v>kicad_api_lib:TestPoint_Pad_D1.016mm</x:v>
      </x:c>
      <x:c r="J240" s="13" t="str"/>
      <x:c r="K240" s="13" t="str"/>
      <x:c r="L240" s="13" t="str">
        <x:v>/POWER/</x:v>
      </x:c>
      <x:c r="M240" s="13" t="str">
        <x:v>POWER.kicad_sch</x:v>
      </x:c>
      <x:c r="N240" s="13" t="str"/>
      <x:c r="O240" s="13" t="str"/>
      <x:c r="P240" s="13" t="str"/>
    </x:row>
    <x:row r="241" ht="48" customHeight="1">
      <x:c r="A241" s="9" t="str">
        <x:v>TP_GND_USB1</x:v>
      </x:c>
      <x:c r="B241" s="9" t="str">
        <x:v>GND_USB</x:v>
      </x:c>
      <x:c r="C241" s="12" t="n">
        <x:v>0</x:v>
      </x:c>
      <x:c r="D241" s="15" t="str">
        <x:v>排除BOM</x:v>
      </x:c>
      <x:c r="E241" s="9" t="str"/>
      <x:c r="F241" s="9" t="str"/>
      <x:c r="G241" s="9" t="str">
        <x:v>Top</x:v>
      </x:c>
      <x:c r="H241" s="9" t="str">
        <x:v>kicad_api_lib:TestPoint_Pad_D1.016mm</x:v>
      </x:c>
      <x:c r="I241" s="9" t="str">
        <x:v>kicad_api_lib:TestPoint_Pad_D1.016mm</x:v>
      </x:c>
      <x:c r="J241" s="9" t="str"/>
      <x:c r="K241" s="9" t="str"/>
      <x:c r="L241" s="9" t="str">
        <x:v>/MCU_Core/USB_TTL_CH340/</x:v>
      </x:c>
      <x:c r="M241" s="9" t="str">
        <x:v>TTL_CH340.kicad_sch</x:v>
      </x:c>
      <x:c r="N241" s="9" t="str"/>
      <x:c r="O241" s="9" t="str"/>
      <x:c r="P241" s="9" t="str"/>
    </x:row>
    <x:row r="242" ht="48" customHeight="1">
      <x:c r="A242" s="13" t="str">
        <x:v>TP_MCU_RX1</x:v>
      </x:c>
      <x:c r="B242" s="13" t="str">
        <x:v>MCU_RX</x:v>
      </x:c>
      <x:c r="C242" s="14" t="n">
        <x:v>0</x:v>
      </x:c>
      <x:c r="D242" s="16" t="str">
        <x:v>排除BOM</x:v>
      </x:c>
      <x:c r="E242" s="13" t="str"/>
      <x:c r="F242" s="13" t="str"/>
      <x:c r="G242" s="13" t="str">
        <x:v>Top</x:v>
      </x:c>
      <x:c r="H242" s="13" t="str">
        <x:v>kicad_api_lib:TestPoint_Pad_D0.762mm</x:v>
      </x:c>
      <x:c r="I242" s="13" t="str">
        <x:v>kicad_api_lib:TestPoint_Pad_D0.762mm</x:v>
      </x:c>
      <x:c r="J242" s="13" t="str"/>
      <x:c r="K242" s="13" t="str"/>
      <x:c r="L242" s="13" t="str">
        <x:v>/MCU_Core/USB_TTL_CH340/</x:v>
      </x:c>
      <x:c r="M242" s="13" t="str">
        <x:v>TTL_CH340.kicad_sch</x:v>
      </x:c>
      <x:c r="N242" s="13" t="str"/>
      <x:c r="O242" s="13" t="str"/>
      <x:c r="P242" s="13" t="str"/>
    </x:row>
    <x:row r="243" ht="48" customHeight="1">
      <x:c r="A243" s="9" t="str">
        <x:v>TP_MCU_TX1</x:v>
      </x:c>
      <x:c r="B243" s="9" t="str">
        <x:v>MCU_TX</x:v>
      </x:c>
      <x:c r="C243" s="12" t="n">
        <x:v>0</x:v>
      </x:c>
      <x:c r="D243" s="15" t="str">
        <x:v>排除BOM</x:v>
      </x:c>
      <x:c r="E243" s="9" t="str"/>
      <x:c r="F243" s="9" t="str"/>
      <x:c r="G243" s="9" t="str">
        <x:v>Top</x:v>
      </x:c>
      <x:c r="H243" s="9" t="str">
        <x:v>kicad_api_lib:TestPoint_Pad_D0.762mm</x:v>
      </x:c>
      <x:c r="I243" s="9" t="str">
        <x:v>kicad_api_lib:TestPoint_Pad_D0.762mm</x:v>
      </x:c>
      <x:c r="J243" s="9" t="str"/>
      <x:c r="K243" s="9" t="str"/>
      <x:c r="L243" s="9" t="str">
        <x:v>/MCU_Core/USB_TTL_CH340/</x:v>
      </x:c>
      <x:c r="M243" s="9" t="str">
        <x:v>TTL_CH340.kicad_sch</x:v>
      </x:c>
      <x:c r="N243" s="9" t="str"/>
      <x:c r="O243" s="9" t="str"/>
      <x:c r="P243" s="9" t="str"/>
    </x:row>
    <x:row r="244" ht="48" customHeight="1">
      <x:c r="A244" s="13" t="str">
        <x:v>TP_NRST1</x:v>
      </x:c>
      <x:c r="B244" s="13" t="str">
        <x:v>NRST</x:v>
      </x:c>
      <x:c r="C244" s="14" t="n">
        <x:v>0</x:v>
      </x:c>
      <x:c r="D244" s="16" t="str">
        <x:v>排除BOM；板上结构/无需采购</x:v>
      </x:c>
      <x:c r="E244" s="13" t="str"/>
      <x:c r="F244" s="13" t="str"/>
      <x:c r="G244" s="13" t="str">
        <x:v>Top</x:v>
      </x:c>
      <x:c r="H244" s="13" t="str">
        <x:v>TestPoint:TestPoint_Pad_D1.0mm</x:v>
      </x:c>
      <x:c r="I244" s="13" t="str">
        <x:v>TestPoint:TestPoint_Pad_D1.0mm</x:v>
      </x:c>
      <x:c r="J244" s="13" t="str"/>
      <x:c r="K244" s="13" t="str"/>
      <x:c r="L244" s="13" t="str">
        <x:v>/MCU_Core/</x:v>
      </x:c>
      <x:c r="M244" s="13" t="str">
        <x:v>GD32F303VET6.kicad_sch</x:v>
      </x:c>
      <x:c r="N244" s="13" t="str"/>
      <x:c r="O244" s="13" t="str"/>
      <x:c r="P244" s="13" t="str"/>
    </x:row>
    <x:row r="245" ht="48" customHeight="1">
      <x:c r="A245" s="9" t="str">
        <x:v>TP_PWM1</x:v>
      </x:c>
      <x:c r="B245" s="9" t="str">
        <x:v>PWM1</x:v>
      </x:c>
      <x:c r="C245" s="12" t="n">
        <x:v>0</x:v>
      </x:c>
      <x:c r="D245" s="15" t="str">
        <x:v>排除BOM</x:v>
      </x:c>
      <x:c r="E245" s="9" t="str"/>
      <x:c r="F245" s="9" t="str"/>
      <x:c r="G245" s="9" t="str">
        <x:v>Top</x:v>
      </x:c>
      <x:c r="H245" s="9" t="str">
        <x:v>kicad_api_lib:TestPoint_Pad_D0.762mm</x:v>
      </x:c>
      <x:c r="I245" s="9" t="str">
        <x:v>kicad_api_lib:TestPoint_Pad_D0.762mm</x:v>
      </x:c>
      <x:c r="J245" s="9" t="str"/>
      <x:c r="K245" s="9" t="str"/>
      <x:c r="L245" s="9" t="str">
        <x:v>/MCU_Core/Motor_Comm/</x:v>
      </x:c>
      <x:c r="M245" s="9" t="str">
        <x:v>Motor_Comm.kicad_sch</x:v>
      </x:c>
      <x:c r="N245" s="9" t="str"/>
      <x:c r="O245" s="9" t="str"/>
      <x:c r="P245" s="9" t="str"/>
    </x:row>
    <x:row r="246" ht="48" customHeight="1">
      <x:c r="A246" s="13" t="str">
        <x:v>TP_PWM2</x:v>
      </x:c>
      <x:c r="B246" s="13" t="str">
        <x:v>PWM2</x:v>
      </x:c>
      <x:c r="C246" s="14" t="n">
        <x:v>0</x:v>
      </x:c>
      <x:c r="D246" s="16" t="str">
        <x:v>排除BOM</x:v>
      </x:c>
      <x:c r="E246" s="13" t="str"/>
      <x:c r="F246" s="13" t="str"/>
      <x:c r="G246" s="13" t="str">
        <x:v>Top</x:v>
      </x:c>
      <x:c r="H246" s="13" t="str">
        <x:v>kicad_api_lib:TestPoint_Pad_D0.762mm</x:v>
      </x:c>
      <x:c r="I246" s="13" t="str">
        <x:v>kicad_api_lib:TestPoint_Pad_D0.762mm</x:v>
      </x:c>
      <x:c r="J246" s="13" t="str"/>
      <x:c r="K246" s="13" t="str"/>
      <x:c r="L246" s="13" t="str">
        <x:v>/MCU_Core/Motor_Comm/</x:v>
      </x:c>
      <x:c r="M246" s="13" t="str">
        <x:v>Motor_Comm.kicad_sch</x:v>
      </x:c>
      <x:c r="N246" s="13" t="str"/>
      <x:c r="O246" s="13" t="str"/>
      <x:c r="P246" s="13" t="str"/>
    </x:row>
    <x:row r="247" ht="48" customHeight="1">
      <x:c r="A247" s="9" t="str">
        <x:v>TP_PWM3</x:v>
      </x:c>
      <x:c r="B247" s="9" t="str">
        <x:v>PWM3</x:v>
      </x:c>
      <x:c r="C247" s="12" t="n">
        <x:v>0</x:v>
      </x:c>
      <x:c r="D247" s="15" t="str">
        <x:v>排除BOM</x:v>
      </x:c>
      <x:c r="E247" s="9" t="str"/>
      <x:c r="F247" s="9" t="str"/>
      <x:c r="G247" s="9" t="str">
        <x:v>Top</x:v>
      </x:c>
      <x:c r="H247" s="9" t="str">
        <x:v>kicad_api_lib:TestPoint_Pad_D0.762mm</x:v>
      </x:c>
      <x:c r="I247" s="9" t="str">
        <x:v>kicad_api_lib:TestPoint_Pad_D0.762mm</x:v>
      </x:c>
      <x:c r="J247" s="9" t="str"/>
      <x:c r="K247" s="9" t="str"/>
      <x:c r="L247" s="9" t="str">
        <x:v>/MCU_Core/Motor_Comm/</x:v>
      </x:c>
      <x:c r="M247" s="9" t="str">
        <x:v>Motor_Comm.kicad_sch</x:v>
      </x:c>
      <x:c r="N247" s="9" t="str"/>
      <x:c r="O247" s="9" t="str"/>
      <x:c r="P247" s="9" t="str"/>
    </x:row>
    <x:row r="248" ht="48" customHeight="1">
      <x:c r="A248" s="13" t="str">
        <x:v>TP_PWM4</x:v>
      </x:c>
      <x:c r="B248" s="13" t="str">
        <x:v>PWM4</x:v>
      </x:c>
      <x:c r="C248" s="14" t="n">
        <x:v>0</x:v>
      </x:c>
      <x:c r="D248" s="16" t="str">
        <x:v>排除BOM</x:v>
      </x:c>
      <x:c r="E248" s="13" t="str"/>
      <x:c r="F248" s="13" t="str"/>
      <x:c r="G248" s="13" t="str">
        <x:v>Top</x:v>
      </x:c>
      <x:c r="H248" s="13" t="str">
        <x:v>kicad_api_lib:TestPoint_Pad_D0.762mm</x:v>
      </x:c>
      <x:c r="I248" s="13" t="str">
        <x:v>kicad_api_lib:TestPoint_Pad_D0.762mm</x:v>
      </x:c>
      <x:c r="J248" s="13" t="str"/>
      <x:c r="K248" s="13" t="str"/>
      <x:c r="L248" s="13" t="str">
        <x:v>/MCU_Core/Motor_Comm/</x:v>
      </x:c>
      <x:c r="M248" s="13" t="str">
        <x:v>Motor_Comm.kicad_sch</x:v>
      </x:c>
      <x:c r="N248" s="13" t="str"/>
      <x:c r="O248" s="13" t="str"/>
      <x:c r="P248" s="13" t="str"/>
    </x:row>
    <x:row r="249" ht="48" customHeight="1">
      <x:c r="A249" s="9" t="str">
        <x:v>TP_SPI_CLK1</x:v>
      </x:c>
      <x:c r="B249" s="9" t="str">
        <x:v>SPI_CLK</x:v>
      </x:c>
      <x:c r="C249" s="12" t="n">
        <x:v>0</x:v>
      </x:c>
      <x:c r="D249" s="15" t="str">
        <x:v>排除BOM</x:v>
      </x:c>
      <x:c r="E249" s="9" t="str"/>
      <x:c r="F249" s="9" t="str"/>
      <x:c r="G249" s="9" t="str">
        <x:v>Top</x:v>
      </x:c>
      <x:c r="H249" s="9" t="str">
        <x:v>kicad_api_lib:TestPoint_Pad_D0.762mm</x:v>
      </x:c>
      <x:c r="I249" s="9" t="str">
        <x:v>kicad_api_lib:TestPoint_Pad_D0.762mm</x:v>
      </x:c>
      <x:c r="J249" s="9" t="str"/>
      <x:c r="K249" s="9" t="str"/>
      <x:c r="L249" s="9" t="str">
        <x:v>/MCU_Core/</x:v>
      </x:c>
      <x:c r="M249" s="9" t="str">
        <x:v>GD32F303VET6.kicad_sch</x:v>
      </x:c>
      <x:c r="N249" s="9" t="str"/>
      <x:c r="O249" s="9" t="str"/>
      <x:c r="P249" s="9" t="str"/>
    </x:row>
    <x:row r="250" ht="48" customHeight="1">
      <x:c r="A250" s="13" t="str">
        <x:v>TP_SPI_CS1</x:v>
      </x:c>
      <x:c r="B250" s="13" t="str">
        <x:v>SPI_CS</x:v>
      </x:c>
      <x:c r="C250" s="14" t="n">
        <x:v>0</x:v>
      </x:c>
      <x:c r="D250" s="16" t="str">
        <x:v>排除BOM</x:v>
      </x:c>
      <x:c r="E250" s="13" t="str"/>
      <x:c r="F250" s="13" t="str"/>
      <x:c r="G250" s="13" t="str">
        <x:v>Top</x:v>
      </x:c>
      <x:c r="H250" s="13" t="str">
        <x:v>kicad_api_lib:TestPoint_Pad_D0.762mm</x:v>
      </x:c>
      <x:c r="I250" s="13" t="str">
        <x:v>kicad_api_lib:TestPoint_Pad_D0.762mm</x:v>
      </x:c>
      <x:c r="J250" s="13" t="str"/>
      <x:c r="K250" s="13" t="str"/>
      <x:c r="L250" s="13" t="str">
        <x:v>/MCU_Core/</x:v>
      </x:c>
      <x:c r="M250" s="13" t="str">
        <x:v>GD32F303VET6.kicad_sch</x:v>
      </x:c>
      <x:c r="N250" s="13" t="str"/>
      <x:c r="O250" s="13" t="str"/>
      <x:c r="P250" s="13" t="str"/>
    </x:row>
    <x:row r="251" ht="48" customHeight="1">
      <x:c r="A251" s="9" t="str">
        <x:v>TP_SPI_MISO1</x:v>
      </x:c>
      <x:c r="B251" s="9" t="str">
        <x:v>SPI_MISO</x:v>
      </x:c>
      <x:c r="C251" s="12" t="n">
        <x:v>0</x:v>
      </x:c>
      <x:c r="D251" s="15" t="str">
        <x:v>排除BOM</x:v>
      </x:c>
      <x:c r="E251" s="9" t="str"/>
      <x:c r="F251" s="9" t="str"/>
      <x:c r="G251" s="9" t="str">
        <x:v>Top</x:v>
      </x:c>
      <x:c r="H251" s="9" t="str">
        <x:v>kicad_api_lib:TestPoint_Pad_D0.762mm</x:v>
      </x:c>
      <x:c r="I251" s="9" t="str">
        <x:v>kicad_api_lib:TestPoint_Pad_D0.762mm</x:v>
      </x:c>
      <x:c r="J251" s="9" t="str"/>
      <x:c r="K251" s="9" t="str"/>
      <x:c r="L251" s="9" t="str">
        <x:v>/MCU_Core/</x:v>
      </x:c>
      <x:c r="M251" s="9" t="str">
        <x:v>GD32F303VET6.kicad_sch</x:v>
      </x:c>
      <x:c r="N251" s="9" t="str"/>
      <x:c r="O251" s="9" t="str"/>
      <x:c r="P251" s="9" t="str"/>
    </x:row>
    <x:row r="252" ht="48" customHeight="1">
      <x:c r="A252" s="13" t="str">
        <x:v>TP_SPI_MOSI1</x:v>
      </x:c>
      <x:c r="B252" s="13" t="str">
        <x:v>SPI_MOSI</x:v>
      </x:c>
      <x:c r="C252" s="14" t="n">
        <x:v>0</x:v>
      </x:c>
      <x:c r="D252" s="16" t="str">
        <x:v>排除BOM</x:v>
      </x:c>
      <x:c r="E252" s="13" t="str"/>
      <x:c r="F252" s="13" t="str"/>
      <x:c r="G252" s="13" t="str">
        <x:v>Top</x:v>
      </x:c>
      <x:c r="H252" s="13" t="str">
        <x:v>kicad_api_lib:TestPoint_Pad_D0.762mm</x:v>
      </x:c>
      <x:c r="I252" s="13" t="str">
        <x:v>kicad_api_lib:TestPoint_Pad_D0.762mm</x:v>
      </x:c>
      <x:c r="J252" s="13" t="str"/>
      <x:c r="K252" s="13" t="str"/>
      <x:c r="L252" s="13" t="str">
        <x:v>/MCU_Core/</x:v>
      </x:c>
      <x:c r="M252" s="13" t="str">
        <x:v>GD32F303VET6.kicad_sch</x:v>
      </x:c>
      <x:c r="N252" s="13" t="str"/>
      <x:c r="O252" s="13" t="str"/>
      <x:c r="P252" s="13" t="str"/>
    </x:row>
    <x:row r="253" ht="48" customHeight="1">
      <x:c r="A253" s="9" t="str">
        <x:v>TP_VBUS1</x:v>
      </x:c>
      <x:c r="B253" s="9" t="str">
        <x:v>VBUS1</x:v>
      </x:c>
      <x:c r="C253" s="12" t="n">
        <x:v>0</x:v>
      </x:c>
      <x:c r="D253" s="15" t="str">
        <x:v>排除BOM</x:v>
      </x:c>
      <x:c r="E253" s="9" t="str"/>
      <x:c r="F253" s="9" t="str"/>
      <x:c r="G253" s="9" t="str">
        <x:v>Top</x:v>
      </x:c>
      <x:c r="H253" s="9" t="str">
        <x:v>kicad_api_lib:TestPoint_Pad_D1.143mm</x:v>
      </x:c>
      <x:c r="I253" s="9" t="str">
        <x:v>kicad_api_lib:TestPoint_Pad_D1.143mm</x:v>
      </x:c>
      <x:c r="J253" s="9" t="str"/>
      <x:c r="K253" s="9" t="str"/>
      <x:c r="L253" s="9" t="str">
        <x:v>/MCU_Core/USB_TTL_CH340/</x:v>
      </x:c>
      <x:c r="M253" s="9" t="str">
        <x:v>TTL_CH340.kicad_sch</x:v>
      </x:c>
      <x:c r="N253" s="9" t="str"/>
      <x:c r="O253" s="9" t="str"/>
      <x:c r="P253" s="9" t="str"/>
    </x:row>
    <x:row r="254" ht="48" customHeight="1">
      <x:c r="A254" s="13" t="str">
        <x:v>TP_VBUS2</x:v>
      </x:c>
      <x:c r="B254" s="13" t="str">
        <x:v>VBUS2</x:v>
      </x:c>
      <x:c r="C254" s="14" t="n">
        <x:v>0</x:v>
      </x:c>
      <x:c r="D254" s="16" t="str">
        <x:v>排除BOM</x:v>
      </x:c>
      <x:c r="E254" s="13" t="str"/>
      <x:c r="F254" s="13" t="str"/>
      <x:c r="G254" s="13" t="str">
        <x:v>Top</x:v>
      </x:c>
      <x:c r="H254" s="13" t="str">
        <x:v>kicad_api_lib:TestPoint_Pad_D1.143mm</x:v>
      </x:c>
      <x:c r="I254" s="13" t="str">
        <x:v>kicad_api_lib:TestPoint_Pad_D1.143mm</x:v>
      </x:c>
      <x:c r="J254" s="13" t="str"/>
      <x:c r="K254" s="13" t="str"/>
      <x:c r="L254" s="13" t="str">
        <x:v>/MCU_Core/USB_TTL_CH340/</x:v>
      </x:c>
      <x:c r="M254" s="13" t="str">
        <x:v>TTL_CH340.kicad_sch</x:v>
      </x:c>
      <x:c r="N254" s="13" t="str"/>
      <x:c r="O254" s="13" t="str"/>
      <x:c r="P254" s="13" t="str"/>
    </x:row>
    <x:row r="255" ht="48" customHeight="1">
      <x:c r="A255" s="9" t="str">
        <x:v>U1</x:v>
      </x:c>
      <x:c r="B255" s="9" t="str">
        <x:v>XL1509-5.0</x:v>
      </x:c>
      <x:c r="C255" s="12" t="n">
        <x:v>1</x:v>
      </x:c>
      <x:c r="D255" s="9" t="str">
        <x:v>装配/计入采购</x:v>
      </x:c>
      <x:c r="E255" s="9" t="str">
        <x:v>XL1509-5.0</x:v>
      </x:c>
      <x:c r="F255" s="9" t="str">
        <x:v>UMW</x:v>
      </x:c>
      <x:c r="G255" s="9" t="str">
        <x:v>Top</x:v>
      </x:c>
      <x:c r="H255" s="9" t="str">
        <x:v>kicad_api_lib:XL1509-5.0</x:v>
      </x:c>
      <x:c r="I255" s="9" t="str">
        <x:v>kicad_api_lib:XL1509-5.0</x:v>
      </x:c>
      <x:c r="J255" s="9" t="str"/>
      <x:c r="K255" s="9" t="str"/>
      <x:c r="L255" s="9" t="str">
        <x:v>/POWER/</x:v>
      </x:c>
      <x:c r="M255" s="9" t="str">
        <x:v>POWER.kicad_sch</x:v>
      </x:c>
      <x:c r="N255" s="9" t="str"/>
      <x:c r="O255" s="9" t="str"/>
      <x:c r="P255" s="9" t="str">
        <x:v>嘉立创料号待匹配；华秋料号待匹配</x:v>
      </x:c>
    </x:row>
    <x:row r="256" ht="48" customHeight="1">
      <x:c r="A256" s="13" t="str">
        <x:v>U2</x:v>
      </x:c>
      <x:c r="B256" s="13" t="str">
        <x:v>IB0505S-2W3L</x:v>
      </x:c>
      <x:c r="C256" s="14" t="n">
        <x:v>0</x:v>
      </x:c>
      <x:c r="D256" s="16" t="str">
        <x:v>DNP不装配；原理图排除PCB；排除BOM；PCB中无封装</x:v>
      </x:c>
      <x:c r="E256" s="13" t="str"/>
      <x:c r="F256" s="13" t="str"/>
      <x:c r="G256" s="13" t="str"/>
      <x:c r="H256" s="13" t="str">
        <x:v>IB0505S-2W3L:IB0505S-2W3L</x:v>
      </x:c>
      <x:c r="I256" s="13" t="str">
        <x:v>IB0505S-2W3L:IB0505S-2W3L</x:v>
      </x:c>
      <x:c r="J256" s="13" t="str"/>
      <x:c r="K256" s="13" t="str"/>
      <x:c r="L256" s="13" t="str">
        <x:v>/POWER/</x:v>
      </x:c>
      <x:c r="M256" s="13" t="str">
        <x:v>POWER.kicad_sch</x:v>
      </x:c>
      <x:c r="N256" s="13" t="str"/>
      <x:c r="O256" s="13" t="str">
        <x:v>2W isolated DC-DC converter, 5V input to 5V isolated output</x:v>
      </x:c>
      <x:c r="P256" s="13" t="str"/>
    </x:row>
    <x:row r="257" ht="48" customHeight="1">
      <x:c r="A257" s="9" t="str">
        <x:v>U3</x:v>
      </x:c>
      <x:c r="B257" s="9" t="str">
        <x:v>SY8089A1AAC</x:v>
      </x:c>
      <x:c r="C257" s="12" t="n">
        <x:v>0</x:v>
      </x:c>
      <x:c r="D257" s="15" t="str">
        <x:v>DNP不装配；原理图排除PCB；排除BOM；PCB中无封装</x:v>
      </x:c>
      <x:c r="E257" s="9" t="str">
        <x:v>SY8089A1AAC</x:v>
      </x:c>
      <x:c r="F257" s="9" t="str">
        <x:v>Silergy</x:v>
      </x:c>
      <x:c r="G257" s="9" t="str"/>
      <x:c r="H257" s="9" t="str">
        <x:v>kicad_api_lib:SY8089A1AAC</x:v>
      </x:c>
      <x:c r="I257" s="9" t="str">
        <x:v>kicad_api_lib:SY8089A1AAC</x:v>
      </x:c>
      <x:c r="J257" s="9" t="str"/>
      <x:c r="K257" s="9" t="str">
        <x:v>G4218670</x:v>
      </x:c>
      <x:c r="L257" s="9" t="str">
        <x:v>/POWER/</x:v>
      </x:c>
      <x:c r="M257" s="9" t="str">
        <x:v>POWER.kicad_sch</x:v>
      </x:c>
      <x:c r="N257" s="9" t="str"/>
      <x:c r="O257" s="9" t="str">
        <x:v>SOT-23-5  DC-DC Converters ROHS</x:v>
      </x:c>
      <x:c r="P257" s="9" t="str"/>
    </x:row>
    <x:row r="258" ht="48" customHeight="1">
      <x:c r="A258" s="13" t="str">
        <x:v>U4</x:v>
      </x:c>
      <x:c r="B258" s="13" t="str">
        <x:v>CH213K</x:v>
      </x:c>
      <x:c r="C258" s="14" t="n">
        <x:v>0</x:v>
      </x:c>
      <x:c r="D258" s="16" t="str">
        <x:v>DNP不装配；原理图排除PCB；排除BOM；PCB中无封装</x:v>
      </x:c>
      <x:c r="E258" s="13" t="str">
        <x:v>CH213K</x:v>
      </x:c>
      <x:c r="F258" s="13" t="str">
        <x:v>WCH</x:v>
      </x:c>
      <x:c r="G258" s="13" t="str"/>
      <x:c r="H258" s="13" t="str">
        <x:v>kicad_api_lib:CH213K</x:v>
      </x:c>
      <x:c r="I258" s="13" t="str">
        <x:v>kicad_api_lib:CH213K</x:v>
      </x:c>
      <x:c r="J258" s="13" t="str"/>
      <x:c r="K258" s="13" t="str">
        <x:v>G14528796</x:v>
      </x:c>
      <x:c r="L258" s="13" t="str">
        <x:v>/POWER/</x:v>
      </x:c>
      <x:c r="M258" s="13" t="str">
        <x:v>POWER.kicad_sch</x:v>
      </x:c>
      <x:c r="N258" s="13" t="str"/>
      <x:c r="O258" s="13" t="str">
        <x:v>CH213 是带限流功能的低压降理想二极管芯片</x:v>
      </x:c>
      <x:c r="P258" s="13" t="str"/>
    </x:row>
    <x:row r="259" ht="48" customHeight="1">
      <x:c r="A259" s="9" t="str">
        <x:v>U5</x:v>
      </x:c>
      <x:c r="B259" s="9" t="str">
        <x:v>LM66100DCKR</x:v>
      </x:c>
      <x:c r="C259" s="12" t="n">
        <x:v>1</x:v>
      </x:c>
      <x:c r="D259" s="9" t="str">
        <x:v>装配/计入采购</x:v>
      </x:c>
      <x:c r="E259" s="9" t="str">
        <x:v>LM66100DCKR</x:v>
      </x:c>
      <x:c r="F259" s="9" t="str">
        <x:v>Texas Instruments (TI)</x:v>
      </x:c>
      <x:c r="G259" s="9" t="str">
        <x:v>Top</x:v>
      </x:c>
      <x:c r="H259" s="9" t="str">
        <x:v>kicad_api_lib:LM66100DCKR</x:v>
      </x:c>
      <x:c r="I259" s="9" t="str">
        <x:v>kicad_api_lib:LM66100DCKR</x:v>
      </x:c>
      <x:c r="J259" s="9" t="str"/>
      <x:c r="K259" s="9" t="str">
        <x:v>G4607254</x:v>
      </x:c>
      <x:c r="L259" s="9" t="str">
        <x:v>/POWER/</x:v>
      </x:c>
      <x:c r="M259" s="9" t="str">
        <x:v>POWER.kicad_sch</x:v>
      </x:c>
      <x:c r="N259" s="9" t="str"/>
      <x:c r="O259" s="9" t="str">
        <x:v>IC OR CTRLR IDEAL DIODE SC70-6</x:v>
      </x:c>
      <x:c r="P259" s="9" t="str">
        <x:v>嘉立创料号待匹配</x:v>
      </x:c>
    </x:row>
    <x:row r="260" ht="48" customHeight="1">
      <x:c r="A260" s="13" t="str">
        <x:v>U6</x:v>
      </x:c>
      <x:c r="B260" s="13" t="str">
        <x:v>SY8089A1AAC</x:v>
      </x:c>
      <x:c r="C260" s="14" t="n">
        <x:v>1</x:v>
      </x:c>
      <x:c r="D260" s="13" t="str">
        <x:v>装配/计入采购</x:v>
      </x:c>
      <x:c r="E260" s="13" t="str">
        <x:v>SY8089A1AAC</x:v>
      </x:c>
      <x:c r="F260" s="13" t="str">
        <x:v>Silergy</x:v>
      </x:c>
      <x:c r="G260" s="13" t="str">
        <x:v>Top</x:v>
      </x:c>
      <x:c r="H260" s="13" t="str">
        <x:v>Package_TO_SOT_SMD:SOT-23-5</x:v>
      </x:c>
      <x:c r="I260" s="13" t="str">
        <x:v>Package_TO_SOT_SMD:SOT-23-5</x:v>
      </x:c>
      <x:c r="J260" s="13" t="str"/>
      <x:c r="K260" s="13" t="str"/>
      <x:c r="L260" s="13" t="str">
        <x:v>/POWER/</x:v>
      </x:c>
      <x:c r="M260" s="13" t="str">
        <x:v>POWER.kicad_sch</x:v>
      </x:c>
      <x:c r="N260" s="13" t="str"/>
      <x:c r="O260" s="13" t="str">
        <x:v>2.5-5.5V input, 2A synchronous buck, 1.5MHz, 0.6V FB; Silergy SY8089A1AAC</x:v>
      </x:c>
      <x:c r="P260" s="13" t="str">
        <x:v>嘉立创料号待匹配；华秋料号待匹配</x:v>
      </x:c>
    </x:row>
    <x:row r="261" ht="48" customHeight="1">
      <x:c r="A261" s="9" t="str">
        <x:v>U7</x:v>
      </x:c>
      <x:c r="B261" s="9" t="str">
        <x:v>GD32F303VET6</x:v>
      </x:c>
      <x:c r="C261" s="12" t="n">
        <x:v>1</x:v>
      </x:c>
      <x:c r="D261" s="9" t="str">
        <x:v>装配/计入采购</x:v>
      </x:c>
      <x:c r="E261" s="9" t="str"/>
      <x:c r="F261" s="9" t="str"/>
      <x:c r="G261" s="9" t="str">
        <x:v>Top</x:v>
      </x:c>
      <x:c r="H261" s="9" t="str">
        <x:v>kicad_api_lib:GD32F303VET6</x:v>
      </x:c>
      <x:c r="I261" s="9" t="str">
        <x:v>kicad_api_lib:GD32F303VET6</x:v>
      </x:c>
      <x:c r="J261" s="9" t="str"/>
      <x:c r="K261" s="9" t="str"/>
      <x:c r="L261" s="9" t="str">
        <x:v>/MCU_Core/</x:v>
      </x:c>
      <x:c r="M261" s="9" t="str">
        <x:v>GD32F303VET6.kicad_sch</x:v>
      </x:c>
      <x:c r="N261" s="9" t="str"/>
      <x:c r="O261" s="9" t="str"/>
      <x:c r="P261" s="9" t="str">
        <x:v>MPN待补齐；型号/数值按原设计保留；品牌待补齐；嘉立创料号待匹配；华秋料号待匹配</x:v>
      </x:c>
    </x:row>
    <x:row r="262" ht="48" customHeight="1">
      <x:c r="A262" s="13" t="str">
        <x:v>U8</x:v>
      </x:c>
      <x:c r="B262" s="13" t="str">
        <x:v>GD25Q16ESIGR</x:v>
      </x:c>
      <x:c r="C262" s="14" t="n">
        <x:v>1</x:v>
      </x:c>
      <x:c r="D262" s="13" t="str">
        <x:v>装配/计入采购</x:v>
      </x:c>
      <x:c r="E262" s="13" t="str">
        <x:v>GD25Q16ESIGR</x:v>
      </x:c>
      <x:c r="F262" s="13" t="str">
        <x:v>GigaDevice</x:v>
      </x:c>
      <x:c r="G262" s="13" t="str">
        <x:v>Top</x:v>
      </x:c>
      <x:c r="H262" s="13" t="str">
        <x:v>kicad_api_lib:GD25Q16ESIGR</x:v>
      </x:c>
      <x:c r="I262" s="13" t="str">
        <x:v>kicad_api_lib:GD25Q16ESIGR</x:v>
      </x:c>
      <x:c r="J262" s="13" t="str"/>
      <x:c r="K262" s="13" t="str">
        <x:v>G5425615</x:v>
      </x:c>
      <x:c r="L262" s="13" t="str">
        <x:v>/MCU_Core/</x:v>
      </x:c>
      <x:c r="M262" s="13" t="str">
        <x:v>GD32F303VET6.kicad_sch</x:v>
      </x:c>
      <x:c r="N262" s="13" t="str"/>
      <x:c r="O262" s="13" t="str">
        <x:v>16MBIT NOR FLASH /3.3V /SOP8 208</x:v>
      </x:c>
      <x:c r="P262" s="13" t="str">
        <x:v>嘉立创料号待匹配</x:v>
      </x:c>
    </x:row>
    <x:row r="263" ht="48" customHeight="1">
      <x:c r="A263" s="9" t="str">
        <x:v>U9</x:v>
      </x:c>
      <x:c r="B263" s="9" t="str">
        <x:v>ISO1050DWR</x:v>
      </x:c>
      <x:c r="C263" s="12" t="n">
        <x:v>0</x:v>
      </x:c>
      <x:c r="D263" s="15" t="str">
        <x:v>DNP不装配；原理图排除PCB；排除BOM；PCB中无封装</x:v>
      </x:c>
      <x:c r="E263" s="9" t="str">
        <x:v>ISO1050DWR</x:v>
      </x:c>
      <x:c r="F263" s="9" t="str">
        <x:v>Texas Instruments (TI)</x:v>
      </x:c>
      <x:c r="G263" s="9" t="str"/>
      <x:c r="H263" s="9" t="str">
        <x:v>kicad_api_lib:ISO1050DWR</x:v>
      </x:c>
      <x:c r="I263" s="9" t="str">
        <x:v>kicad_api_lib:ISO1050DWR</x:v>
      </x:c>
      <x:c r="J263" s="9" t="str"/>
      <x:c r="K263" s="9" t="str">
        <x:v>G1813320</x:v>
      </x:c>
      <x:c r="L263" s="9" t="str">
        <x:v>/CAN/</x:v>
      </x:c>
      <x:c r="M263" s="9" t="str">
        <x:v>CAN.kicad_sch</x:v>
      </x:c>
      <x:c r="N263" s="9" t="str"/>
      <x:c r="O263" s="9" t="str">
        <x:v>Isolated CAN Transceiver, -55 to 105 degC, 16-pin SOIC (DW), Green (RoHS &amp; no Sb/Br)</x:v>
      </x:c>
      <x:c r="P263" s="9" t="str"/>
    </x:row>
    <x:row r="264" ht="48" customHeight="1">
      <x:c r="A264" s="13" t="str">
        <x:v>U10</x:v>
      </x:c>
      <x:c r="B264" s="13" t="str">
        <x:v>SP3232EEN-L/TR</x:v>
      </x:c>
      <x:c r="C264" s="14" t="n">
        <x:v>0</x:v>
      </x:c>
      <x:c r="D264" s="16" t="str">
        <x:v>DNP不装配；原理图排除PCB；排除BOM；PCB中无封装</x:v>
      </x:c>
      <x:c r="E264" s="13" t="str">
        <x:v>SP3232EEN-L/TR</x:v>
      </x:c>
      <x:c r="F264" s="13" t="str">
        <x:v>Maxlinear</x:v>
      </x:c>
      <x:c r="G264" s="13" t="str"/>
      <x:c r="H264" s="13" t="str">
        <x:v>kicad_api_lib:SP3232EEN-L_TR</x:v>
      </x:c>
      <x:c r="I264" s="13" t="str">
        <x:v>kicad_api_lib:SP3232EEN-L_TR</x:v>
      </x:c>
      <x:c r="J264" s="13" t="str"/>
      <x:c r="K264" s="13" t="str">
        <x:v>G0025472</x:v>
      </x:c>
      <x:c r="L264" s="13" t="str">
        <x:v>/RS232/</x:v>
      </x:c>
      <x:c r="M264" s="13" t="str">
        <x:v>RS232.kicad_sch</x:v>
      </x:c>
      <x:c r="N264" s="13" t="str"/>
      <x:c r="O264" s="13" t="str">
        <x:v>IC TRANSCEIVER FULL 2/2 16SOIC</x:v>
      </x:c>
      <x:c r="P264" s="13" t="str"/>
    </x:row>
    <x:row r="265" ht="48" customHeight="1">
      <x:c r="A265" s="9" t="str">
        <x:v>U11</x:v>
      </x:c>
      <x:c r="B265" s="9" t="str">
        <x:v>CA-IS3721HS</x:v>
      </x:c>
      <x:c r="C265" s="12" t="n">
        <x:v>0</x:v>
      </x:c>
      <x:c r="D265" s="15" t="str">
        <x:v>DNP不装配；原理图排除PCB；排除BOM；PCB中无封装</x:v>
      </x:c>
      <x:c r="E265" s="9" t="str">
        <x:v>CA-IS3721HS</x:v>
      </x:c>
      <x:c r="F265" s="9" t="str">
        <x:v>CHIPANALOG</x:v>
      </x:c>
      <x:c r="G265" s="9" t="str"/>
      <x:c r="H265" s="9" t="str">
        <x:v>kicad_api_lib:CA-IS3721HS</x:v>
      </x:c>
      <x:c r="I265" s="9" t="str">
        <x:v>kicad_api_lib:CA-IS3721HS</x:v>
      </x:c>
      <x:c r="J265" s="9" t="str"/>
      <x:c r="K265" s="9" t="str">
        <x:v>G14522436</x:v>
      </x:c>
      <x:c r="L265" s="9" t="str">
        <x:v>/RS485/</x:v>
      </x:c>
      <x:c r="M265" s="9" t="str">
        <x:v>RS485.kicad_sch</x:v>
      </x:c>
      <x:c r="N265" s="9" t="str"/>
      <x:c r="O265" s="9" t="str">
        <x:v>应用:-;隔离技术:-;</x:v>
      </x:c>
      <x:c r="P265" s="9" t="str"/>
    </x:row>
    <x:row r="266" ht="48" customHeight="1">
      <x:c r="A266" s="13" t="str">
        <x:v>U12</x:v>
      </x:c>
      <x:c r="B266" s="13" t="str">
        <x:v>π131U30</x:v>
      </x:c>
      <x:c r="C266" s="14" t="n">
        <x:v>0</x:v>
      </x:c>
      <x:c r="D266" s="16" t="str">
        <x:v>DNP不装配；原理图排除PCB；PCB中无封装</x:v>
      </x:c>
      <x:c r="E266" s="13" t="str">
        <x:v>π131U30</x:v>
      </x:c>
      <x:c r="F266" s="13" t="str">
        <x:v>2Pai Semi</x:v>
      </x:c>
      <x:c r="G266" s="13" t="str"/>
      <x:c r="H266" s="13" t="str">
        <x:v>kicad_api_lib:π131U30</x:v>
      </x:c>
      <x:c r="I266" s="13" t="str">
        <x:v>kicad_api_lib:π131U30</x:v>
      </x:c>
      <x:c r="J266" s="13" t="str"/>
      <x:c r="K266" s="13" t="str">
        <x:v>G12320162</x:v>
      </x:c>
      <x:c r="L266" s="13" t="str">
        <x:v>/RS485/</x:v>
      </x:c>
      <x:c r="M266" s="13" t="str">
        <x:v>RS485.kicad_sch</x:v>
      </x:c>
      <x:c r="N266" s="13" t="str"/>
      <x:c r="O266" s="13" t="str">
        <x:v>150kbps 3-channel digital isolator with enhanced ESD protection, 3000Vrms, NB SOIC-16</x:v>
      </x:c>
      <x:c r="P266" s="13" t="str"/>
    </x:row>
    <x:row r="267" ht="48" customHeight="1">
      <x:c r="A267" s="9" t="str">
        <x:v>U13</x:v>
      </x:c>
      <x:c r="B267" s="9" t="str">
        <x:v>SIT3485ESA</x:v>
      </x:c>
      <x:c r="C267" s="12" t="n">
        <x:v>1</x:v>
      </x:c>
      <x:c r="D267" s="9" t="str">
        <x:v>装配/计入采购</x:v>
      </x:c>
      <x:c r="E267" s="9" t="str">
        <x:v>SIT3485ESA</x:v>
      </x:c>
      <x:c r="F267" s="9" t="str">
        <x:v>SIT</x:v>
      </x:c>
      <x:c r="G267" s="9" t="str">
        <x:v>Bottom</x:v>
      </x:c>
      <x:c r="H267" s="9" t="str">
        <x:v>kicad_api_lib:SIT3485ESA</x:v>
      </x:c>
      <x:c r="I267" s="9" t="str">
        <x:v>kicad_api_lib:SIT3485ESA</x:v>
      </x:c>
      <x:c r="J267" s="9" t="str"/>
      <x:c r="K267" s="9" t="str">
        <x:v>G5053794</x:v>
      </x:c>
      <x:c r="L267" s="9" t="str">
        <x:v>/RS485/</x:v>
      </x:c>
      <x:c r="M267" s="9" t="str">
        <x:v>RS485.kicad_sch</x:v>
      </x:c>
      <x:c r="N267" s="9" t="str"/>
      <x:c r="O267" s="9" t="str">
        <x:v>类型:收发器;驱动器/接收器:1/1;数据速率:12Mbps;</x:v>
      </x:c>
      <x:c r="P267" s="9" t="str">
        <x:v>嘉立创料号待匹配</x:v>
      </x:c>
    </x:row>
    <x:row r="268" ht="60" customHeight="1">
      <x:c r="A268" s="13" t="str">
        <x:v>U14</x:v>
      </x:c>
      <x:c r="B268" s="13" t="str">
        <x:v>ISO3082DWR</x:v>
      </x:c>
      <x:c r="C268" s="14" t="n">
        <x:v>0</x:v>
      </x:c>
      <x:c r="D268" s="16" t="str">
        <x:v>DNP不装配；原理图排除PCB；排除BOM；PCB中无封装</x:v>
      </x:c>
      <x:c r="E268" s="13" t="str">
        <x:v>ISO3082DWR</x:v>
      </x:c>
      <x:c r="F268" s="13" t="str">
        <x:v>Texas Instruments (TI)</x:v>
      </x:c>
      <x:c r="G268" s="13" t="str"/>
      <x:c r="H268" s="13" t="str">
        <x:v>kicad_api_lib:ISO3082DWR</x:v>
      </x:c>
      <x:c r="I268" s="13" t="str">
        <x:v>kicad_api_lib:ISO3082DWR</x:v>
      </x:c>
      <x:c r="J268" s="13" t="str"/>
      <x:c r="K268" s="13" t="str">
        <x:v>G0078778</x:v>
      </x:c>
      <x:c r="L268" s="13" t="str">
        <x:v>/RS485/</x:v>
      </x:c>
      <x:c r="M268" s="13" t="str">
        <x:v>RS485.kicad_sch</x:v>
      </x:c>
      <x:c r="N268" s="13" t="str"/>
      <x:c r="O268" s="13" t="str">
        <x:v>Isolated RS-485 Transceiver, 0.2 Mbps, 5 V, Half Duplex, -40 to 85 degC, 16-pin SOIC (DW), Green (RoHS &amp; no Sb/Br)</x:v>
      </x:c>
      <x:c r="P268" s="13" t="str"/>
    </x:row>
    <x:row r="269" ht="48" customHeight="1">
      <x:c r="A269" s="9" t="str">
        <x:v>U15</x:v>
      </x:c>
      <x:c r="B269" s="9" t="str">
        <x:v>TXS0104EPWR</x:v>
      </x:c>
      <x:c r="C269" s="12" t="n">
        <x:v>1</x:v>
      </x:c>
      <x:c r="D269" s="9" t="str">
        <x:v>装配/计入采购</x:v>
      </x:c>
      <x:c r="E269" s="9" t="str">
        <x:v>TXS0104EPWR</x:v>
      </x:c>
      <x:c r="F269" s="9" t="str">
        <x:v>Texas Instruments (TI)</x:v>
      </x:c>
      <x:c r="G269" s="9" t="str">
        <x:v>Top</x:v>
      </x:c>
      <x:c r="H269" s="9" t="str">
        <x:v>kicad_api_lib:TXS0104EPWR</x:v>
      </x:c>
      <x:c r="I269" s="9" t="str">
        <x:v>kicad_api_lib:TXS0104EPWR</x:v>
      </x:c>
      <x:c r="J269" s="9" t="str"/>
      <x:c r="K269" s="9" t="str">
        <x:v>G2104690</x:v>
      </x:c>
      <x:c r="L269" s="9" t="str">
        <x:v>/MCU_Core/Motor_Comm/</x:v>
      </x:c>
      <x:c r="M269" s="9" t="str">
        <x:v>Motor_Comm.kicad_sch</x:v>
      </x:c>
      <x:c r="N269" s="9" t="str"/>
      <x:c r="O269" s="9" t="str">
        <x:v>IC TRNSLTR BIDIRECTIONAL 14TSSOP</x:v>
      </x:c>
      <x:c r="P269" s="9" t="str">
        <x:v>嘉立创料号待匹配</x:v>
      </x:c>
    </x:row>
    <x:row r="270" ht="48" customHeight="1">
      <x:c r="A270" s="13" t="str">
        <x:v>U16</x:v>
      </x:c>
      <x:c r="B270" s="13" t="str">
        <x:v>TXS0104EPWR</x:v>
      </x:c>
      <x:c r="C270" s="14" t="n">
        <x:v>0</x:v>
      </x:c>
      <x:c r="D270" s="16" t="str">
        <x:v>DNP不装配；原理图排除PCB；排除BOM；PCB中无封装</x:v>
      </x:c>
      <x:c r="E270" s="13" t="str">
        <x:v>TXS0104EPWR</x:v>
      </x:c>
      <x:c r="F270" s="13" t="str">
        <x:v>Texas Instruments (TI)</x:v>
      </x:c>
      <x:c r="G270" s="13" t="str"/>
      <x:c r="H270" s="13" t="str">
        <x:v>kicad_api_lib:TXS0104EPWR</x:v>
      </x:c>
      <x:c r="I270" s="13" t="str">
        <x:v>kicad_api_lib:TXS0104EPWR</x:v>
      </x:c>
      <x:c r="J270" s="13" t="str"/>
      <x:c r="K270" s="13" t="str">
        <x:v>G2104690</x:v>
      </x:c>
      <x:c r="L270" s="13" t="str">
        <x:v>/MCU_Core/Motor_Comm/</x:v>
      </x:c>
      <x:c r="M270" s="13" t="str">
        <x:v>Motor_Comm.kicad_sch</x:v>
      </x:c>
      <x:c r="N270" s="13" t="str"/>
      <x:c r="O270" s="13" t="str">
        <x:v>IC TRNSLTR BIDIRECTIONAL 14TSSOP</x:v>
      </x:c>
      <x:c r="P270" s="13" t="str"/>
    </x:row>
    <x:row r="271" ht="48" customHeight="1">
      <x:c r="A271" s="9" t="str">
        <x:v>U17</x:v>
      </x:c>
      <x:c r="B271" s="9" t="str">
        <x:v>SN74LVC2G06DBVR</x:v>
      </x:c>
      <x:c r="C271" s="12" t="n">
        <x:v>1</x:v>
      </x:c>
      <x:c r="D271" s="9" t="str">
        <x:v>装配/计入采购</x:v>
      </x:c>
      <x:c r="E271" s="9" t="str"/>
      <x:c r="F271" s="9" t="str"/>
      <x:c r="G271" s="9" t="str">
        <x:v>Top</x:v>
      </x:c>
      <x:c r="H271" s="9" t="str">
        <x:v>Package_TO_SOT_SMD:SOT-23-6</x:v>
      </x:c>
      <x:c r="I271" s="9" t="str">
        <x:v>Package_TO_SOT_SMD:SOT-23-6</x:v>
      </x:c>
      <x:c r="J271" s="9" t="str"/>
      <x:c r="K271" s="9" t="str"/>
      <x:c r="L271" s="9" t="str">
        <x:v>/MCU_Core/Motor_Comm/</x:v>
      </x:c>
      <x:c r="M271" s="9" t="str">
        <x:v>Motor_Comm.kicad_sch</x:v>
      </x:c>
      <x:c r="N271" s="9" t="str"/>
      <x:c r="O271" s="9" t="str"/>
      <x:c r="P271" s="9" t="str">
        <x:v>MPN待补齐；型号/数值按原设计保留；品牌待补齐；嘉立创料号待匹配；华秋料号待匹配</x:v>
      </x:c>
    </x:row>
    <x:row r="272" ht="48" customHeight="1">
      <x:c r="A272" s="13" t="str">
        <x:v>U18</x:v>
      </x:c>
      <x:c r="B272" s="13" t="str">
        <x:v>SN74LVC2G06DBVR</x:v>
      </x:c>
      <x:c r="C272" s="14" t="n">
        <x:v>1</x:v>
      </x:c>
      <x:c r="D272" s="13" t="str">
        <x:v>装配/计入采购</x:v>
      </x:c>
      <x:c r="E272" s="13" t="str"/>
      <x:c r="F272" s="13" t="str"/>
      <x:c r="G272" s="13" t="str">
        <x:v>Top</x:v>
      </x:c>
      <x:c r="H272" s="13" t="str">
        <x:v>Package_TO_SOT_SMD:SOT-23-6</x:v>
      </x:c>
      <x:c r="I272" s="13" t="str">
        <x:v>Package_TO_SOT_SMD:SOT-23-6</x:v>
      </x:c>
      <x:c r="J272" s="13" t="str"/>
      <x:c r="K272" s="13" t="str"/>
      <x:c r="L272" s="13" t="str">
        <x:v>/MCU_Core/Motor_Comm/</x:v>
      </x:c>
      <x:c r="M272" s="13" t="str">
        <x:v>Motor_Comm.kicad_sch</x:v>
      </x:c>
      <x:c r="N272" s="13" t="str"/>
      <x:c r="O272" s="13" t="str"/>
      <x:c r="P272" s="13" t="str">
        <x:v>MPN待补齐；型号/数值按原设计保留；品牌待补齐；嘉立创料号待匹配；华秋料号待匹配</x:v>
      </x:c>
    </x:row>
    <x:row r="273" ht="48" customHeight="1">
      <x:c r="A273" s="9" t="str">
        <x:v>U19</x:v>
      </x:c>
      <x:c r="B273" s="9" t="str">
        <x:v>SN74LVC2G06DBVR</x:v>
      </x:c>
      <x:c r="C273" s="12" t="n">
        <x:v>1</x:v>
      </x:c>
      <x:c r="D273" s="9" t="str">
        <x:v>装配/计入采购</x:v>
      </x:c>
      <x:c r="E273" s="9" t="str"/>
      <x:c r="F273" s="9" t="str"/>
      <x:c r="G273" s="9" t="str">
        <x:v>Top</x:v>
      </x:c>
      <x:c r="H273" s="9" t="str">
        <x:v>Package_TO_SOT_SMD:SOT-23-6</x:v>
      </x:c>
      <x:c r="I273" s="9" t="str">
        <x:v>Package_TO_SOT_SMD:SOT-23-6</x:v>
      </x:c>
      <x:c r="J273" s="9" t="str"/>
      <x:c r="K273" s="9" t="str"/>
      <x:c r="L273" s="9" t="str">
        <x:v>/MCU_Core/Motor_Comm/</x:v>
      </x:c>
      <x:c r="M273" s="9" t="str">
        <x:v>Motor_Comm.kicad_sch</x:v>
      </x:c>
      <x:c r="N273" s="9" t="str"/>
      <x:c r="O273" s="9" t="str"/>
      <x:c r="P273" s="9" t="str">
        <x:v>MPN待补齐；型号/数值按原设计保留；品牌待补齐；嘉立创料号待匹配；华秋料号待匹配</x:v>
      </x:c>
    </x:row>
    <x:row r="274" ht="48" customHeight="1">
      <x:c r="A274" s="13" t="str">
        <x:v>U20</x:v>
      </x:c>
      <x:c r="B274" s="13" t="str">
        <x:v>SN74LVC2G06DBVR</x:v>
      </x:c>
      <x:c r="C274" s="14" t="n">
        <x:v>1</x:v>
      </x:c>
      <x:c r="D274" s="13" t="str">
        <x:v>装配/计入采购</x:v>
      </x:c>
      <x:c r="E274" s="13" t="str"/>
      <x:c r="F274" s="13" t="str"/>
      <x:c r="G274" s="13" t="str">
        <x:v>Top</x:v>
      </x:c>
      <x:c r="H274" s="13" t="str">
        <x:v>Package_TO_SOT_SMD:SOT-23-6</x:v>
      </x:c>
      <x:c r="I274" s="13" t="str">
        <x:v>Package_TO_SOT_SMD:SOT-23-6</x:v>
      </x:c>
      <x:c r="J274" s="13" t="str"/>
      <x:c r="K274" s="13" t="str"/>
      <x:c r="L274" s="13" t="str">
        <x:v>/MCU_Core/Motor_Comm/</x:v>
      </x:c>
      <x:c r="M274" s="13" t="str">
        <x:v>Motor_Comm.kicad_sch</x:v>
      </x:c>
      <x:c r="N274" s="13" t="str"/>
      <x:c r="O274" s="13" t="str"/>
      <x:c r="P274" s="13" t="str">
        <x:v>MPN待补齐；型号/数值按原设计保留；品牌待补齐；嘉立创料号待匹配；华秋料号待匹配</x:v>
      </x:c>
    </x:row>
    <x:row r="275" ht="48" customHeight="1">
      <x:c r="A275" s="9" t="str">
        <x:v>U21</x:v>
      </x:c>
      <x:c r="B275" s="9" t="str">
        <x:v>CH340E</x:v>
      </x:c>
      <x:c r="C275" s="12" t="n">
        <x:v>0</x:v>
      </x:c>
      <x:c r="D275" s="15" t="str">
        <x:v>DNP不装配；原理图排除PCB；排除BOM；PCB中无封装</x:v>
      </x:c>
      <x:c r="E275" s="9" t="str">
        <x:v>CH340E</x:v>
      </x:c>
      <x:c r="F275" s="9" t="str">
        <x:v>WCH</x:v>
      </x:c>
      <x:c r="G275" s="9" t="str"/>
      <x:c r="H275" s="9" t="str">
        <x:v>kicad_api_lib:CH340E</x:v>
      </x:c>
      <x:c r="I275" s="9" t="str">
        <x:v>kicad_api_lib:CH340E</x:v>
      </x:c>
      <x:c r="J275" s="9" t="str"/>
      <x:c r="K275" s="9" t="str">
        <x:v>G3695564</x:v>
      </x:c>
      <x:c r="L275" s="9" t="str">
        <x:v>/MCU_Core/USB_TTL_CH340/</x:v>
      </x:c>
      <x:c r="M275" s="9" t="str">
        <x:v>TTL_CH340.kicad_sch</x:v>
      </x:c>
      <x:c r="N275" s="9" t="str"/>
      <x:c r="O275" s="9" t="str">
        <x:v>CH340是一个USB总线的转接芯片，实现USB转串口或者USB转打印口</x:v>
      </x:c>
      <x:c r="P275" s="9" t="str"/>
    </x:row>
    <x:row r="276" ht="48" customHeight="1">
      <x:c r="A276" s="13" t="str">
        <x:v>U22</x:v>
      </x:c>
      <x:c r="B276" s="13" t="str">
        <x:v>TPD4S012DRYR</x:v>
      </x:c>
      <x:c r="C276" s="14" t="n">
        <x:v>0</x:v>
      </x:c>
      <x:c r="D276" s="16" t="str">
        <x:v>DNP不装配；原理图排除PCB；排除BOM；PCB中无封装</x:v>
      </x:c>
      <x:c r="E276" s="13" t="str">
        <x:v>TPD4S012DRYR</x:v>
      </x:c>
      <x:c r="F276" s="13" t="str">
        <x:v>Texas Instruments (TI)</x:v>
      </x:c>
      <x:c r="G276" s="13" t="str"/>
      <x:c r="H276" s="13" t="str">
        <x:v>kicad_api_lib:TPD4S012DRYR</x:v>
      </x:c>
      <x:c r="I276" s="13" t="str">
        <x:v>kicad_api_lib:TPD4S012DRYR</x:v>
      </x:c>
      <x:c r="J276" s="13" t="str"/>
      <x:c r="K276" s="13" t="str">
        <x:v>G0016296</x:v>
      </x:c>
      <x:c r="L276" s="13" t="str">
        <x:v>/MCU_Core/USB_TTL_CH340/</x:v>
      </x:c>
      <x:c r="M276" s="13" t="str">
        <x:v>TTL_CH340.kicad_sch</x:v>
      </x:c>
      <x:c r="N276" s="13" t="str"/>
      <x:c r="O276" s="13" t="str">
        <x:v>USB ESD Solution with Power Clamp, 4 Channels, -40 to +85 degC, 6-pin SON (DRY), Green (RoHS &amp; no Sb/Br)</x:v>
      </x:c>
      <x:c r="P276" s="13" t="str"/>
    </x:row>
    <x:row r="277" ht="48" customHeight="1">
      <x:c r="A277" s="9" t="str">
        <x:v>U23</x:v>
      </x:c>
      <x:c r="B277" s="9" t="str">
        <x:v>CH340N</x:v>
      </x:c>
      <x:c r="C277" s="12" t="n">
        <x:v>1</x:v>
      </x:c>
      <x:c r="D277" s="9" t="str">
        <x:v>装配/计入采购</x:v>
      </x:c>
      <x:c r="E277" s="9" t="str">
        <x:v>CH340N</x:v>
      </x:c>
      <x:c r="F277" s="9" t="str">
        <x:v>WCH</x:v>
      </x:c>
      <x:c r="G277" s="9" t="str">
        <x:v>Top</x:v>
      </x:c>
      <x:c r="H277" s="9" t="str">
        <x:v>kicad_api_lib:CH340N</x:v>
      </x:c>
      <x:c r="I277" s="9" t="str">
        <x:v>kicad_api_lib:CH340N</x:v>
      </x:c>
      <x:c r="J277" s="9" t="str"/>
      <x:c r="K277" s="9" t="str"/>
      <x:c r="L277" s="9" t="str">
        <x:v>/MCU_Core/USB_TTL_CH340/</x:v>
      </x:c>
      <x:c r="M277" s="9" t="str">
        <x:v>TTL_CH340.kicad_sch</x:v>
      </x:c>
      <x:c r="N277" s="9" t="str"/>
      <x:c r="O277" s="9" t="str">
        <x:v>SOP-8  USB ICs ROHS</x:v>
      </x:c>
      <x:c r="P277" s="9" t="str">
        <x:v>嘉立创料号待匹配；华秋料号待匹配</x:v>
      </x:c>
    </x:row>
    <x:row r="278" ht="48" customHeight="1">
      <x:c r="A278" s="13" t="str">
        <x:v>U24</x:v>
      </x:c>
      <x:c r="B278" s="13" t="str">
        <x:v>LM66100DCKR</x:v>
      </x:c>
      <x:c r="C278" s="14" t="n">
        <x:v>1</x:v>
      </x:c>
      <x:c r="D278" s="13" t="str">
        <x:v>装配/计入采购</x:v>
      </x:c>
      <x:c r="E278" s="13" t="str">
        <x:v>LM66100DCKR</x:v>
      </x:c>
      <x:c r="F278" s="13" t="str">
        <x:v>Texas Instruments (TI)</x:v>
      </x:c>
      <x:c r="G278" s="13" t="str">
        <x:v>Bottom</x:v>
      </x:c>
      <x:c r="H278" s="13" t="str">
        <x:v>kicad_api_lib:LM66100DCKR</x:v>
      </x:c>
      <x:c r="I278" s="13" t="str">
        <x:v>kicad_api_lib:LM66100DCKR</x:v>
      </x:c>
      <x:c r="J278" s="13" t="str"/>
      <x:c r="K278" s="13" t="str">
        <x:v>G4607254</x:v>
      </x:c>
      <x:c r="L278" s="13" t="str">
        <x:v>/MCU_Core/USB_TTL_CH340/</x:v>
      </x:c>
      <x:c r="M278" s="13" t="str">
        <x:v>TTL_CH340.kicad_sch</x:v>
      </x:c>
      <x:c r="N278" s="13" t="str"/>
      <x:c r="O278" s="13" t="str">
        <x:v>IC OR CTRLR IDEAL DIODE SC70-6</x:v>
      </x:c>
      <x:c r="P278" s="13" t="str">
        <x:v>嘉立创料号待匹配</x:v>
      </x:c>
    </x:row>
    <x:row r="279" ht="48" customHeight="1">
      <x:c r="A279" s="9" t="str">
        <x:v>U25</x:v>
      </x:c>
      <x:c r="B279" s="9" t="str">
        <x:v>LM66100DCKR</x:v>
      </x:c>
      <x:c r="C279" s="12" t="n">
        <x:v>1</x:v>
      </x:c>
      <x:c r="D279" s="9" t="str">
        <x:v>装配/计入采购</x:v>
      </x:c>
      <x:c r="E279" s="9" t="str">
        <x:v>LM66100DCKR</x:v>
      </x:c>
      <x:c r="F279" s="9" t="str">
        <x:v>Texas Instruments (TI)</x:v>
      </x:c>
      <x:c r="G279" s="9" t="str">
        <x:v>Bottom</x:v>
      </x:c>
      <x:c r="H279" s="9" t="str">
        <x:v>kicad_api_lib:LM66100DCKR</x:v>
      </x:c>
      <x:c r="I279" s="9" t="str">
        <x:v>kicad_api_lib:LM66100DCKR</x:v>
      </x:c>
      <x:c r="J279" s="9" t="str"/>
      <x:c r="K279" s="9" t="str">
        <x:v>G4607254</x:v>
      </x:c>
      <x:c r="L279" s="9" t="str">
        <x:v>/MCU_Core/USB_TTL_CH340/</x:v>
      </x:c>
      <x:c r="M279" s="9" t="str">
        <x:v>TTL_CH340.kicad_sch</x:v>
      </x:c>
      <x:c r="N279" s="9" t="str"/>
      <x:c r="O279" s="9" t="str">
        <x:v>IC OR CTRLR IDEAL DIODE SC70-6</x:v>
      </x:c>
      <x:c r="P279" s="9" t="str">
        <x:v>嘉立创料号待匹配</x:v>
      </x:c>
    </x:row>
    <x:row r="280" ht="48" customHeight="1">
      <x:c r="A280" s="13" t="str">
        <x:v>U26</x:v>
      </x:c>
      <x:c r="B280" s="13" t="str">
        <x:v>ESP32-C3-WROOM-02-N4</x:v>
      </x:c>
      <x:c r="C280" s="14" t="n">
        <x:v>0</x:v>
      </x:c>
      <x:c r="D280" s="16" t="str">
        <x:v>DNP不装配；原理图排除PCB；排除BOM；PCB中无封装</x:v>
      </x:c>
      <x:c r="E280" s="13" t="str">
        <x:v>ESP32-C3-WROOM-02-N4</x:v>
      </x:c>
      <x:c r="F280" s="13" t="str">
        <x:v>Espressif Systems</x:v>
      </x:c>
      <x:c r="G280" s="13" t="str"/>
      <x:c r="H280" s="13" t="str">
        <x:v>kicad_api_lib:ESP32-C3-WROOM-02-N4</x:v>
      </x:c>
      <x:c r="I280" s="13" t="str">
        <x:v>kicad_api_lib:ESP32-C3-WROOM-02-N4</x:v>
      </x:c>
      <x:c r="J280" s="13" t="str"/>
      <x:c r="K280" s="13" t="str">
        <x:v>G6565626</x:v>
      </x:c>
      <x:c r="L280" s="13" t="str">
        <x:v>/MCU_Core/WiFi_OTA/</x:v>
      </x:c>
      <x:c r="M280" s="13" t="str">
        <x:v>WiFi_OTA.kicad_sch</x:v>
      </x:c>
      <x:c r="N280" s="13" t="str"/>
      <x:c r="O280" s="13" t="str">
        <x:v>SMD MOD 4MB SPI FLSH PCB ANT -40</x:v>
      </x:c>
      <x:c r="P280" s="13" t="str"/>
    </x:row>
    <x:row r="281" ht="48" customHeight="1">
      <x:c r="A281" s="9" t="str">
        <x:v>Y1</x:v>
      </x:c>
      <x:c r="B281" s="9" t="str">
        <x:v>TAXM8M4RDBCCT2T</x:v>
      </x:c>
      <x:c r="C281" s="12" t="n">
        <x:v>1</x:v>
      </x:c>
      <x:c r="D281" s="9" t="str">
        <x:v>装配/计入采购</x:v>
      </x:c>
      <x:c r="E281" s="9" t="str">
        <x:v>TAXM8M4RDBCCT2T</x:v>
      </x:c>
      <x:c r="F281" s="9" t="str">
        <x:v>YJX</x:v>
      </x:c>
      <x:c r="G281" s="9" t="str">
        <x:v>Top</x:v>
      </x:c>
      <x:c r="H281" s="9" t="str">
        <x:v>kicad_api_lib:TAXM8M4RDBCCT2T</x:v>
      </x:c>
      <x:c r="I281" s="9" t="str">
        <x:v>kicad_api_lib:TAXM8M4RDBCCT2T</x:v>
      </x:c>
      <x:c r="J281" s="9" t="str"/>
      <x:c r="K281" s="9" t="str">
        <x:v>G14520298</x:v>
      </x:c>
      <x:c r="L281" s="9" t="str">
        <x:v>/MCU_Core/</x:v>
      </x:c>
      <x:c r="M281" s="9" t="str">
        <x:v>GD32F303VET6.kicad_sch</x:v>
      </x:c>
      <x:c r="N281" s="9" t="str"/>
      <x:c r="O281" s="9" t="str">
        <x:v>Passive Crystal Oscillators, 8 MHz, SMD3225-4P</x:v>
      </x:c>
      <x:c r="P281" s="9" t="str">
        <x:v>嘉立创料号待匹配</x:v>
      </x:c>
    </x:row>
    <x:row r="282" ht="48" customHeight="1">
      <x:c r="A282" s="13" t="str">
        <x:v>Y2</x:v>
      </x:c>
      <x:c r="B282" s="13" t="str">
        <x:v>XKXGI-SUA-32.768K</x:v>
      </x:c>
      <x:c r="C282" s="14" t="n">
        <x:v>1</x:v>
      </x:c>
      <x:c r="D282" s="13" t="str">
        <x:v>装配/计入采购</x:v>
      </x:c>
      <x:c r="E282" s="13" t="str">
        <x:v>XKXGI-SUA-32.768K</x:v>
      </x:c>
      <x:c r="F282" s="13" t="str">
        <x:v>YXC</x:v>
      </x:c>
      <x:c r="G282" s="13" t="str">
        <x:v>Top</x:v>
      </x:c>
      <x:c r="H282" s="13" t="str">
        <x:v>kicad_api_lib:XKXGI-SUA-32.768K</x:v>
      </x:c>
      <x:c r="I282" s="13" t="str">
        <x:v>kicad_api_lib:XKXGI-SUA-32.768K</x:v>
      </x:c>
      <x:c r="J282" s="13" t="str"/>
      <x:c r="K282" s="13" t="str">
        <x:v>G6622305</x:v>
      </x:c>
      <x:c r="L282" s="13" t="str">
        <x:v>/MCU_Core/</x:v>
      </x:c>
      <x:c r="M282" s="13" t="str">
        <x:v>GD32F303VET6.kicad_sch</x:v>
      </x:c>
      <x:c r="N282" s="13" t="str"/>
      <x:c r="O282" s="13" t="str">
        <x:v>Passive Crystal Oscillators, 32.768 kHz, SMD3215_2P</x:v>
      </x:c>
      <x:c r="P282" s="13" t="str">
        <x:v>嘉立创料号待匹配</x:v>
      </x:c>
    </x:row>
  </x:sheetData>
  <x:mergeCells>
    <x:mergeCell ref="A1:F1"/>
    <x:mergeCell ref="A2:F2"/>
    <x:mergeCell ref="A4:F4"/>
  </x:mergeCells>
  <x:pageMargins left="0.7" right="0.7" top="0.75" bottom="0.75" header="0.3" footer="0.3"/>
  <x:tableParts count="1">
    <x:tablePart xmlns:r="http://schemas.openxmlformats.org/officeDocument/2006/relationships" r:id="Rfc68711cc4d14aef"/>
  </x:tableParts>
</x:worksheet>
</file>